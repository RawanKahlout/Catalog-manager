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workbookPr codeName="ThisWorkbook" defaultThemeVersion="166925"/>
  <mc:AlternateContent xmlns:mc="http://schemas.openxmlformats.org/markup-compatibility/2006">
    <mc:Choice Requires="x15">
      <x15ac:absPath xmlns:x15ac="http://schemas.microsoft.com/office/spreadsheetml/2010/11/ac" url="C:\Users\Adnan\Desktop\Nejree\December\4CN1DEC19\"/>
    </mc:Choice>
  </mc:AlternateContent>
  <xr:revisionPtr revIDLastSave="0" documentId="13_ncr:1_{30648A8E-8644-42DC-82C4-CDBF3194B185}" xr6:coauthVersionLast="45" xr6:coauthVersionMax="45" xr10:uidLastSave="{00000000-0000-0000-0000-000000000000}"/>
  <bookViews>
    <workbookView xWindow="-108" yWindow="-108" windowWidth="23256" windowHeight="12576" xr2:uid="{756251A3-A001-46A8-8D17-76E85BE0714F}"/>
  </bookViews>
  <sheets>
    <sheet name="articles" sheetId="1" r:id="rId1"/>
    <sheet name="skus" sheetId="2" r:id="rId2"/>
    <sheet name="data" sheetId="3" r:id="rId3"/>
  </sheets>
  <externalReferences>
    <externalReference r:id="rId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J21" i="1"/>
  <c r="H21" i="1"/>
  <c r="F21" i="1"/>
  <c r="E21" i="1"/>
  <c r="D21" i="1"/>
  <c r="J20" i="1"/>
  <c r="H20" i="1"/>
  <c r="F20" i="1"/>
  <c r="E20" i="1"/>
  <c r="D20" i="1"/>
  <c r="J19" i="1"/>
  <c r="H19" i="1"/>
  <c r="F19" i="1"/>
  <c r="E19" i="1"/>
  <c r="D19" i="1"/>
  <c r="J18" i="1"/>
  <c r="H18" i="1"/>
  <c r="F18" i="1"/>
  <c r="E18" i="1"/>
  <c r="D18" i="1"/>
  <c r="J17" i="1"/>
  <c r="H17" i="1"/>
  <c r="F17" i="1"/>
  <c r="E17" i="1"/>
  <c r="D17" i="1"/>
  <c r="J16" i="1"/>
  <c r="H16" i="1"/>
  <c r="F16" i="1"/>
  <c r="E16" i="1"/>
  <c r="D16" i="1"/>
  <c r="J15" i="1"/>
  <c r="H15" i="1"/>
  <c r="F15" i="1"/>
  <c r="E15" i="1"/>
  <c r="D15" i="1"/>
  <c r="J14" i="1"/>
  <c r="H14" i="1"/>
  <c r="F14" i="1"/>
  <c r="E14" i="1"/>
  <c r="D14" i="1"/>
  <c r="J13" i="1"/>
  <c r="H13" i="1"/>
  <c r="F13" i="1"/>
  <c r="E13" i="1"/>
  <c r="D13" i="1"/>
  <c r="J12" i="1"/>
  <c r="H12" i="1"/>
  <c r="F12" i="1"/>
  <c r="E12" i="1"/>
  <c r="D12" i="1"/>
  <c r="J11" i="1"/>
  <c r="H11" i="1"/>
  <c r="F11" i="1"/>
  <c r="E11" i="1"/>
  <c r="D11" i="1"/>
  <c r="J10" i="1"/>
  <c r="H10" i="1"/>
  <c r="F10" i="1"/>
  <c r="E10" i="1"/>
  <c r="D10" i="1"/>
  <c r="J9" i="1"/>
  <c r="H9" i="1"/>
  <c r="F9" i="1"/>
  <c r="E9" i="1"/>
  <c r="D9" i="1"/>
  <c r="J8" i="1"/>
  <c r="H8" i="1"/>
  <c r="F8" i="1"/>
  <c r="E8" i="1"/>
  <c r="D8" i="1"/>
  <c r="J7" i="1"/>
  <c r="H7" i="1"/>
  <c r="F7" i="1"/>
  <c r="E7" i="1"/>
  <c r="D7" i="1"/>
  <c r="J6" i="1"/>
  <c r="H6" i="1"/>
  <c r="F6" i="1"/>
  <c r="E6" i="1"/>
  <c r="D6" i="1"/>
  <c r="J5" i="1"/>
  <c r="H5" i="1"/>
  <c r="F5" i="1"/>
  <c r="E5" i="1"/>
  <c r="D5" i="1"/>
  <c r="J4" i="1"/>
  <c r="H4" i="1"/>
  <c r="F4" i="1"/>
  <c r="E4" i="1"/>
  <c r="D4" i="1"/>
  <c r="J3" i="1"/>
  <c r="H3" i="1"/>
  <c r="F3" i="1"/>
  <c r="E3" i="1"/>
  <c r="D3" i="1"/>
</calcChain>
</file>

<file path=xl/sharedStrings.xml><?xml version="1.0" encoding="utf-8"?>
<sst xmlns="http://schemas.openxmlformats.org/spreadsheetml/2006/main" count="370" uniqueCount="163">
  <si>
    <t>article</t>
  </si>
  <si>
    <t>sku</t>
  </si>
  <si>
    <t>size</t>
  </si>
  <si>
    <t>price</t>
  </si>
  <si>
    <t>categories</t>
  </si>
  <si>
    <t>brand</t>
  </si>
  <si>
    <t>type</t>
  </si>
  <si>
    <t>color</t>
  </si>
  <si>
    <t>name</t>
  </si>
  <si>
    <t>arabic description</t>
  </si>
  <si>
    <t>english description</t>
  </si>
  <si>
    <t>images</t>
  </si>
  <si>
    <t>Nike</t>
  </si>
  <si>
    <t>Adidas</t>
  </si>
  <si>
    <t>Under Armour</t>
  </si>
  <si>
    <t>New Balance</t>
  </si>
  <si>
    <t>Reebok</t>
  </si>
  <si>
    <t>Puma</t>
  </si>
  <si>
    <t>Balenciaga</t>
  </si>
  <si>
    <t>Nike Off-White</t>
  </si>
  <si>
    <t>Asics</t>
  </si>
  <si>
    <t>Nike Jordan</t>
  </si>
  <si>
    <t>Gucci</t>
  </si>
  <si>
    <t>Prada</t>
  </si>
  <si>
    <t>Dolce ＆ Gabbana</t>
  </si>
  <si>
    <t>Fendi</t>
  </si>
  <si>
    <t>Fila</t>
  </si>
  <si>
    <t>Vans</t>
  </si>
  <si>
    <t>Adidas Originals</t>
  </si>
  <si>
    <t>Converse</t>
  </si>
  <si>
    <t>Basketball Sneaker</t>
  </si>
  <si>
    <t>Fashion Sneaker</t>
  </si>
  <si>
    <t>Running Sneaker</t>
  </si>
  <si>
    <t>Training Sneaker</t>
  </si>
  <si>
    <t>Men</t>
  </si>
  <si>
    <t>Women</t>
  </si>
  <si>
    <t>Unisex</t>
  </si>
  <si>
    <t>men</t>
  </si>
  <si>
    <t>women</t>
  </si>
  <si>
    <t>sale</t>
  </si>
  <si>
    <t>limited</t>
  </si>
  <si>
    <t>sneakers-of-the-week</t>
  </si>
  <si>
    <t>Size Label</t>
  </si>
  <si>
    <t>Size ID</t>
  </si>
  <si>
    <t>Brand Label</t>
  </si>
  <si>
    <t>Brand ID</t>
  </si>
  <si>
    <t>Type Label</t>
  </si>
  <si>
    <t>Type ID</t>
  </si>
  <si>
    <t>Gender Label</t>
  </si>
  <si>
    <t>Gender ID</t>
  </si>
  <si>
    <t>Category Label</t>
  </si>
  <si>
    <t>Category ID</t>
  </si>
  <si>
    <t>categories ids</t>
  </si>
  <si>
    <t>brand id</t>
  </si>
  <si>
    <t>type id</t>
  </si>
  <si>
    <t>size id</t>
  </si>
  <si>
    <t>men,new-arrival</t>
  </si>
  <si>
    <t>57,60</t>
  </si>
  <si>
    <t>women,new-arrival</t>
  </si>
  <si>
    <t>58,60</t>
  </si>
  <si>
    <t>unisex</t>
  </si>
  <si>
    <t>57,58</t>
  </si>
  <si>
    <t>unisex,new-arrival</t>
  </si>
  <si>
    <t>57,58,60</t>
  </si>
  <si>
    <t>limited,new-arrival</t>
  </si>
  <si>
    <t>69,60</t>
  </si>
  <si>
    <t>Gender</t>
  </si>
  <si>
    <t>gender id</t>
  </si>
  <si>
    <t>quantity</t>
  </si>
  <si>
    <t>designer</t>
  </si>
  <si>
    <t>Tennis Sneaker</t>
  </si>
  <si>
    <t>Skateboarding Sneaker</t>
  </si>
  <si>
    <t>yeezy</t>
  </si>
  <si>
    <t>Burberry</t>
  </si>
  <si>
    <t>Emporio Armani</t>
  </si>
  <si>
    <t>Alexander Wang</t>
  </si>
  <si>
    <t>Dior</t>
  </si>
  <si>
    <t>Yves Saint Laurent</t>
  </si>
  <si>
    <t>Buscemi</t>
  </si>
  <si>
    <t>Alexandre Mc</t>
  </si>
  <si>
    <t>Queen</t>
  </si>
  <si>
    <t>Ermenegildo Zegna</t>
  </si>
  <si>
    <t>Givenchy</t>
  </si>
  <si>
    <t>DKNY</t>
  </si>
  <si>
    <t>Golden Goose</t>
  </si>
  <si>
    <t>Hackett</t>
  </si>
  <si>
    <t>Hugo Boss</t>
  </si>
  <si>
    <t>Valentino</t>
  </si>
  <si>
    <t>Off White</t>
  </si>
  <si>
    <t>Giorgio Armani</t>
  </si>
  <si>
    <t>Karl Lagerfeld</t>
  </si>
  <si>
    <t>Sophia Webster</t>
  </si>
  <si>
    <t>Plein Sport</t>
  </si>
  <si>
    <t>Maison Margiela</t>
  </si>
  <si>
    <t>Zegna Z Sport</t>
  </si>
  <si>
    <t>Eregildo Zegna</t>
  </si>
  <si>
    <t>YSL</t>
  </si>
  <si>
    <t>Moncler</t>
  </si>
  <si>
    <t>Alexandre McQueen</t>
  </si>
  <si>
    <t>Bottega Vaneta</t>
  </si>
  <si>
    <t>Vetements</t>
  </si>
  <si>
    <t>163213C-102</t>
  </si>
  <si>
    <t>Star Replay OX</t>
  </si>
  <si>
    <t>Optical White</t>
  </si>
  <si>
    <t>الوصف: Star Replay OX
حذاء رياضي من كونفرس. يتميز هذا الحذاء بتصميم مستوحى من شكلين مبدعين لكرة السلة ، وهو يتميز بلسان مبطن وقلادة للراحة ، الجزء العلوي من قماش الكانفان ، مع شعار مميز من نسيج يتميز بشيفرون ونجمة مميزة. مع نظام إغلاق متعدد الأشرطة. وسادة قدم من كونفيرس كومفورت. حذاء متوسط العرض.  يعد شعار ستار شيفرون وعلامة اللسان شعاران لا لبس فيهما لتراث العلامة التجارية.
المميزات والتفاصيل:
•	العلامة التجارية: كونفرس
•	اللون: ابيض
•	الجنس: رجالي / نسائي
•	رقم الموديل: 163213C-102</t>
  </si>
  <si>
    <t>163376C-001</t>
  </si>
  <si>
    <t>One Star OX</t>
  </si>
  <si>
    <t>Black/White</t>
  </si>
  <si>
    <t xml:space="preserve">
الوصف: One Star OX
حذاء رياضي من كونفرس. وتمت إضافتها في سبتمبر 2019. الجزء العلوي مصنوع من نسيج محبوك ومتين. فتحات صغيرة مع اربطة علوية لاغلاق محكم. وسادة قدم مبطنة قليلا لراحة اكثر. اطار سميك حول النعل الاوسط لحماية القدم.
نعل سفلي من مطاط قوي وبتصميم مميز للمتانة. مزين بشعار الماركة. اختيار مرضي. 
المميزات والتفاصيل:
•	العلامة التجارية: كونفرس
•	اللون: اسود / ابيض
•	الجنس: رجالي
•	رقم الموديل: 163376C-001</t>
  </si>
  <si>
    <t>164214C-740</t>
  </si>
  <si>
    <t>Chuck 70 OX</t>
  </si>
  <si>
    <t>Light Yellow</t>
  </si>
  <si>
    <t xml:space="preserve">
الوصف: Chuck 70 OX
حذاء لافت للنظر من كونفرس في صورة ظلية الإرتداد مع المطاط الضخم ، يتميز هذا الحذاء بجزء علوي من الجلد ، مظهر جميل وأنيق وشعار مميز على شكل نجمة. أحذية رياضية جميلة ودقيقة مع تفاصيل تدهشك. الشعار على كعب الحذاء. ونجمة واحدة على الجانب. الخيار الامثل لهذا الصيف.
المميزات والتفاصيل:
•	العلامة التجارية: كونفرس
•	اللون: اصفر فاتح
•	الجنس: نسائي
•	رقم الموديل: 164214C-740</t>
  </si>
  <si>
    <t>164393C-645</t>
  </si>
  <si>
    <t>One Star Academy OX</t>
  </si>
  <si>
    <t>Red/Multi</t>
  </si>
  <si>
    <t xml:space="preserve">
الوصف: One Star Academy OX
حذاء لافت للنظر ذو مظهر عتيق من كونفرس، مع تصميم بسيط ومريح ، الجزء العلوي مصنوع من الشامواه الاصلي المتين المصنوع من جلد الغزال ، مع تداخل متباين ونجم مبدع في قماش. حلقات معدنية مع اربطة علوية لاغلاق محكم.
وسادة قدم مبطنة لراحة اكثر. اطار سميك حول النعل الاوسط لحماية القدم.
مزين بشعار الماركة. اختيار مناسب لهذا الصيف.
المميزات والتفاصيل:
•	العلامة التجارية:  كونفرس
•	اللون: احمر / متعدد الالوان
•	الجنس: رجالي / نسائي
•	رقم الموديل: 164393C-645</t>
  </si>
  <si>
    <t>164966C-090</t>
  </si>
  <si>
    <t>Grey/Charcoal</t>
  </si>
  <si>
    <t xml:space="preserve">
الوصف: Chuck 70 OX
حذاء لافت للنظر من كونفرس في صورة ظلية الإرتداد مع المطاط الضخم ، يتميز هذا الحذاء بجزء علوي من الجلد ، مظهر جميل وأنيق وشعار مميز على شكل نجمة. أحذية رياضية جميلة ودقيقة مع تفاصيل تدهشك. الشعار على كعب الحذاء. ونجمة واحدة على الجانب. الخيار الامثل لهذا الصيف.
المميزات والتفاصيل:
•	العلامة التجارية: كونفرس
•	اللون: رمادي / فحمي
•	الجنس: نسائي
•	رقم الموديل: 164966C-090</t>
  </si>
  <si>
    <t>165010C-603</t>
  </si>
  <si>
    <t>Jack Purcell OX</t>
  </si>
  <si>
    <t>Flame</t>
  </si>
  <si>
    <t xml:space="preserve">
الوصف: Jack Purcell OX
حذاء رياضي كلاسيكي لاصعب المهام من كونفرس. وجوه مصنوعة من قماش قطني طويل، تم تحديثه في الكتان المطرز . بطانة قماشية ونعل داخلي مبطن مزد بتقنية EVA. أربطة أمامية تقليدية مع فتحات معدنية.  خيار امثل.
المميزات والتفاصيل:
•	العلامة التجارية: كونفرس
•	اللون: لهبي متوهج
•	الجنس: رجالي / نسائي
•	رقم الموديل: 165010C-603</t>
  </si>
  <si>
    <t>165020C-103</t>
  </si>
  <si>
    <t>One Star OX Vintage</t>
  </si>
  <si>
    <t>Cream</t>
  </si>
  <si>
    <t xml:space="preserve">
الوصف: One Star OX Vintage
حذاء رياضي مريح من كونفرس. الجزء العلوي مصنوع من جلد طبيعي اصلي متين. 
فتحات باربطة علوية للاغلاق وتفاصيل مزينة. وسادة قدم مبطنة جزئيا لمزيد من الراحة. طيقة واقية سميكة حول النعل الاوسط للحماية. نعل سفلي مطاطي بنمط مميز للمتانة. مزين بشعار الماركة.
المميزات والتفاصيل:
•	العلامة التجارية: كونفرس
•	اللون: كريمي
•	الجنس: نسائي
•	رقم الموديل: 165020C-103</t>
  </si>
  <si>
    <t>165021C-467</t>
  </si>
  <si>
    <t>Dark Navy</t>
  </si>
  <si>
    <t xml:space="preserve">
الوصف: One Star OX
حذاء رياضي من كونفرس. وتمت إضافتها في سبتمبر 2019. الجزء العلوي مصنوع من نسيج محبوك ومتين. فتحات صغيرة مع اربطة علوية لاغلاق محكم. وسادة قدم مبطنة قليلا لراحة اكثر. اطار سميك حول النعل الاوسط لحماية القدم.
نعل سفلي من مطاط قوي وبتصميم مميز للمتانة. مزين بشعار الماركة. اختيار مرضي. 
المميزات والتفاصيل:
•	العلامة التجارية: كونفرس
•	اللون: ازرق بحري غامق
•	الجنس: نسائي
•	رقم الموديل: 165021C-467</t>
  </si>
  <si>
    <t>165330C-996</t>
  </si>
  <si>
    <t>Chuck Taylor OX</t>
  </si>
  <si>
    <t>White/Yellow</t>
  </si>
  <si>
    <t xml:space="preserve">
الوصف: Chuck Taylor OX
حذاء رياضي كلاسيكي من كونفرس. الجزء العلي مصنوع من نسيج متين مع مقدمة حذاء لحماية القدم. حلقتان من المعدن للتهوية. ضبان مبطن قليلا لراحة خفيفة الوزن. حلقات معدنية مع اربطة علوية لاغلاق محكم. وسادة قدم مبطنة قليلا لمزيد من الراحة. اطار سميك حول النعل الاوسط لحماية القدم. نعل سفلي من مطاط قوي وبتصميم مميز للمتانة. شعار العلامة التجارية على اللسان والكعب. سيذهب مع العديد من ملابسك غير الرسمية.
المميزات والتفاصيل:
•	العلامة التجارية: كونفرس
•	اللون: ابيض / اصفر
•	الجنس: رجالي / نسائي
•	رقم الموديل: 165330C-996</t>
  </si>
  <si>
    <t>165998C-331</t>
  </si>
  <si>
    <t>Chuck 70 SP HI</t>
  </si>
  <si>
    <t>Olive/White</t>
  </si>
  <si>
    <t xml:space="preserve">
الوصف: Chuck 70 SP HI
حذاء رياضي من كونفرس مُعاد صياغته، يستخدم تفاصيل حديثة. الحزء العلي مصنوع من جلد نوبوك. يتميز ببطانة مطاطية أعلى قليلاً ، ووسادة قدم مبطنة توفر راحة تدوم طويلاً وأغطية مطاطية كبيرة في مقدمة القدم. إنهم ينضمون إلى سمات تشاك تايلور الشهيرة مثل رقعة الكاحل المتمركزة بالنجوم ونعل خارجي من المطاط المبركن.
المميزات والتفاصيل:
•	العلامة التجارية: كونفرس
•	اللون: زيتوني / ابيض
•	الجنس: رجالي / نسائي
•	رقم الموديل: 165998C-331</t>
  </si>
  <si>
    <t>166277C-805</t>
  </si>
  <si>
    <t>Pumpkin</t>
  </si>
  <si>
    <t xml:space="preserve">
الوصف: Chuck 70 OX
حذاء لافت للنظر من كونفرس في صورة ظلية الإرتداد مع المطاط الضخم ، يتميز هذا الحذاء بجزء علوي من الجلد ، مظهر جميل وأنيق وشعار مميز على شكل نجمة. أحذية رياضية جميلة ودقيقة مع تفاصيل تدهشك. الشعار على كعب الحذاء. ونجمة واحدة على الجانب. الخيار الامثل لهذا الصيف.
المميزات والتفاصيل:
•	العلامة التجارية: كونفرس
•	اللون: يقطين
•	الجنس: رجالي / نسائي
•	رقم الموديل: 166277C-805</t>
  </si>
  <si>
    <t>564117C-102</t>
  </si>
  <si>
    <t xml:space="preserve">
الوصف: Chuck Taylor OX
حذاء رياضي كلاسيكي من كونفرس. الجزء العلي مصنوع من نسيج متين مع مقدمة حذاء لحماية القدم. حلقتان من المعدن للتهوية. ضبان مبطن قليلا لراحة خفيفة الوزن. حلقات معدنية مع اربطة علوية لاغلاق محكم. وسادة قدم مبطنة قليلا لمزيد من الراحة. اطار سميك حول النعل الاوسط لحماية القدم. نعل سفلي من مطاط قوي وبتصميم مميز للمتانة. شعار العلامة التجارية على اللسان والكعب. سيذهب مع العديد من ملابسك غير الرسمية.
المميزات والتفاصيل:
•	العلامة التجارية: كونفرس
•	اللون: ابيض
•	الجنس:  نسائي
•	رقم الموديل: 564117C-102</t>
  </si>
  <si>
    <t>564153C-837</t>
  </si>
  <si>
    <t>Peach</t>
  </si>
  <si>
    <t xml:space="preserve">
الوصف:  One Star OX
حذاء رياضي من كونفرس. وتمت إضافتها في سبتمبر 2019. الجزء العلوي مصنوع من نسيج محبوك ومتين. فتحات صغيرة مع اربطة علوية لاغلاق محكم. وسادة قدم مبطنة قليلا لراحة اكثر. اطار سميك حول النعل الاوسط لحماية القدم.
نعل سفلي من مطاط قوي وبتصميم مميز للمتانة. مزين بشعار الماركة. اختيار مرضي. 
المميزات والتفاصيل:
•	العلامة التجارية: كونفرس
•	اللون: قرنفلي
•	الجنس: رجالي / نسائي
•	رقم الموديل: 564153C-837</t>
  </si>
  <si>
    <t>564299C-729</t>
  </si>
  <si>
    <t>Yellow/Cream</t>
  </si>
  <si>
    <t xml:space="preserve">
الوصف: Chuck 70 OX
حذاء لافت للنظر من كونفرس في صورة ظلية الإرتداد مع المطاط الضخم ، يتميز هذا الحذاء بجزء علوي من الجلد ، مظهر جميل وأنيق وشعار مميز على شكل نجمة. أحذية رياضية جميلة ودقيقة مع تفاصيل تدهشك. الشعار على كعب الحذاء. ونجمة واحدة على الجانب. الخيار الامثل لهذا الصيف.
المميزات والتفاصيل:
•	العلامة التجارية: كونفرس
•	اللون: اصفر / كريمي
•	الجنس: نسائي
•	رقم الموديل: 564299C-729</t>
  </si>
  <si>
    <t>564348C-102</t>
  </si>
  <si>
    <t xml:space="preserve">
الوصف:  Chuck Taylor OX
حذاء رياضي كلاسيكي من كونفرس. الجزء العلي مصنوع من نسيج متين مع مقدمة حذاء لحماية القدم. حلقتان من المعدن للتهوية. ضبان مبطن قليلا لراحة خفيفة الوزن. حلقات معدنية مع اربطة علوية لاغلاق محكم. وسادة قدم مبطنة قليلا لمزيد من الراحة. اطار سميك حول النعل الاوسط لحماية القدم. نعل سفلي من مطاط قوي وبتصميم مميز للمتانة. شعار العلامة التجارية على اللسان والكعب. سيذهب مع العديد من ملابسك غير الرسمية.
المميزات والتفاصيل:
•	العلامة التجارية: كونفرس
•	اللون: ابيض
•	الجنس: نسائي
•	رقم الموديل: 564348C-102</t>
  </si>
  <si>
    <t>564349C-097</t>
  </si>
  <si>
    <t>Grey/Print</t>
  </si>
  <si>
    <t xml:space="preserve">
الوصف: Chuck Taylor OX
حذاء رياضي كلاسيكي من كونفرس. الجزء العلي مصنوع من نسيج متين مع مقدمة حذاء لحماية القدم. حلقتان من المعدن للتهوية. ضبان مبطن قليلا لراحة خفيفة الوزن. حلقات معدنية مع اربطة علوية لاغلاق محكم. وسادة قدم مبطنة قليلا لمزيد من الراحة. اطار سميك حول النعل الاوسط لحماية القدم. نعل سفلي من مطاط قوي وبتصميم مميز للمتانة. شعار العلامة التجارية على اللسان والكعب. سيذهب مع العديد من ملابسك غير الرسمية.
المميزات والتفاصيل:
•	العلامة التجارية: كونفرس
•	اللون: رمادي
•	الجنس: نسائي
•	رقم الموديل: 564349C-097</t>
  </si>
  <si>
    <t>564429C-103</t>
  </si>
  <si>
    <t>Chuck Taylor Lift OX</t>
  </si>
  <si>
    <t xml:space="preserve">
الوصف: Chuck Taylor Lift OX
حذاء رياضي من كونفرس. الجزء العلوي املس ومتين من خامة صناعية. وسادة قدم مبطنة جزئيا للراحة. فتحات صغيرة باربطة علوية للاغلاق. نعل مطاطي مانع للانزلاق. مصنوع من مواد عالية الجودة.  مزين بشعار الماركة. اختيار مريح
المميزات والتفاصيل:
•	العلامة التجارية: كونفرس
•	اللون: كريمي
•	الجنس: نسائي
•	رقم الموديل: 564429C-103</t>
  </si>
  <si>
    <t>564981C-102</t>
  </si>
  <si>
    <t>Chuck Taylors Dainty OX</t>
  </si>
  <si>
    <t xml:space="preserve">
الوصف: Chuck Taylors Dainty OX
حذاء رياضي من كونفرس. الجزء العلوي مصنوع من القماش.  الدانتيل حتى الجبهة مع الثقوب المعدنية. بطانة من القماش ووسادة قدم مبطنة توفر ساعات من الراحة. صندوق أصبع القدم المطاطي وحرس أخمص القدمين ، وحافة جانبية نغمية ، وتصحيح كعب. نعل سفلي من المطاط . صنع من مواد عالية الجودة.
المميزات والتفاصيل:
•	العلامة التجارية: كونفرس
•	اللون: ابيض
•	الجنس: نسائي
•	رقم الموديل: 564981C-102</t>
  </si>
  <si>
    <t>565438C-102</t>
  </si>
  <si>
    <t xml:space="preserve">
الوصف:  Chuck Taylor OX
حذاء رياضي كلاسيكي من كونفرس. الجزء العلي مصنوع من نسيج متين مع مقدمة حذاء لحماية القدم. حلقتان من المعدن للتهوية. ضبان مبطن قليلا لراحة خفيفة الوزن. حلقات معدنية مع اربطة علوية لاغلاق محكم. وسادة قدم مبطنة قليلا لمزيد من الراحة. اطار سميك حول النعل الاوسط لحماية القدم. نعل سفلي من مطاط قوي وبتصميم مميز للمتانة. شعار العلامة التجارية على اللسان والكعب. سيذهب مع العديد من ملابسك غير الرسمية.
المميزات والتفاصيل:
•	العلامة التجارية:  كونفرس
•	اللون: ابيض
•	الجنس: نسائي
•	رقم الموديل: 565438C-102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</si>
</sst>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Alignment="1">
      <alignment vertical="center" wrapText="1"/>
    </xf>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1" fontId="0" fillId="0" borderId="0" xfId="0" applyNumberFormat="1" applyAlignment="1">
      <alignment horizontal="center" vertical="center"/>
    </xf>
    <xf numFmtId="2" fontId="1" fillId="0" borderId="0" xfId="0" applyNumberFormat="1" applyFont="1"/>
    <xf numFmtId="2" fontId="0" fillId="0" borderId="0" xfId="0" applyNumberFormat="1"/>
    <xf numFmtId="2" fontId="0" fillId="0" borderId="0" xfId="0" applyNumberFormat="1" applyAlignment="1">
      <alignment horizontal="center" vertical="center"/>
    </xf>
  </cellXfs>
  <cellStyles count="1">
    <cellStyle name="Normal" xfId="0" builtinId="0"/>
  </cellStyles>
  <dxfs count="20">
    <dxf>
      <numFmt numFmtId="2" formatCode="0.00"/>
    </dxf>
    <dxf>
      <font>
        <color rgb="FF9C0006"/>
      </font>
      <fill>
        <patternFill>
          <bgColor rgb="FFFFC7CE"/>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roduct%20Template%20Conver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ticles"/>
      <sheetName val="skus"/>
      <sheetName val="data"/>
    </sheetNames>
    <sheetDataSet>
      <sheetData sheetId="0"/>
      <sheetData sheetId="1" refreshError="1"/>
      <sheetData sheetId="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F3EB8E-B6FD-44C7-97BB-20FB242E1C2A}" name="Table1" displayName="Table1" ref="A1:O2" insertRow="1" totalsRowShown="0" headerRowDxfId="19">
  <autoFilter ref="A1:O2" xr:uid="{8C8E0685-9D89-4574-9700-E7D16DA2F285}"/>
  <tableColumns count="15">
    <tableColumn id="1" xr3:uid="{286C23E7-B8D3-42C2-A53D-09B828ED6DC6}" name="article"/>
    <tableColumn id="2" xr3:uid="{A9BE0DCB-643B-4F2D-8FFD-C149AE825D14}" name="name"/>
    <tableColumn id="14" xr3:uid="{0F651764-FBDA-4B54-8DC9-E141BDCA31C3}" name="Gender"/>
    <tableColumn id="15" xr3:uid="{35C64565-8EBB-4DFF-8F42-7689573FDAEA}" name="gender id" dataDxfId="18">
      <calculatedColumnFormula>VLOOKUP(Table1[[#This Row],[Gender]],genders[],2,0)</calculatedColumnFormula>
    </tableColumn>
    <tableColumn id="3" xr3:uid="{1285A60D-FE83-45C5-B109-549098CB606F}" name="categories" dataDxfId="17">
      <calculatedColumnFormula>IF(Table1[[#This Row],[Gender]]="Men","men,new-arrival",IF(Table1[[#This Row],[Gender]]="Women","women,new-arrival",IF(Table1[[#This Row],[Gender]]="Unisex","unisex,new-arrival","")))</calculatedColumnFormula>
    </tableColumn>
    <tableColumn id="11" xr3:uid="{C81EBD01-22EC-4431-9732-4851A3274DCA}" name="categories ids" dataDxfId="16">
      <calculatedColumnFormula>VLOOKUP(Table1[[#This Row],[categories]],categories[],2,0)</calculatedColumnFormula>
    </tableColumn>
    <tableColumn id="4" xr3:uid="{668389E4-65DB-40D3-B975-8420F3602B8C}" name="brand"/>
    <tableColumn id="12" xr3:uid="{DD4CDF79-1B70-47BD-A566-1CCE59F24618}" name="brand id" dataDxfId="15">
      <calculatedColumnFormula>VLOOKUP(Table1[[#This Row],[brand]],brands[],2,0)</calculatedColumnFormula>
    </tableColumn>
    <tableColumn id="5" xr3:uid="{9CDEDE17-A51E-41D6-9E70-3EB05E517A07}" name="type"/>
    <tableColumn id="13" xr3:uid="{9C616D0F-1362-4568-A7C9-232415E2B138}" name="type id" dataDxfId="14">
      <calculatedColumnFormula>VLOOKUP(Table1[[#This Row],[type]],types[],2,0)</calculatedColumnFormula>
    </tableColumn>
    <tableColumn id="6" xr3:uid="{6169D434-9494-4D65-A99F-63EEF02EB77C}" name="color"/>
    <tableColumn id="7" xr3:uid="{09887B1B-5051-4FAB-A7FF-63F368EDD41A}" name="price" dataDxfId="0"/>
    <tableColumn id="8" xr3:uid="{124C6837-E977-4944-8EFB-15E15EA4E5CE}" name="arabic description"/>
    <tableColumn id="9" xr3:uid="{63D51DB6-5993-4292-BDCB-FDA4E124D856}" name="english description"/>
    <tableColumn id="10" xr3:uid="{3B8D8C41-2D95-4821-B55F-55E882652CE4}" name="imag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0EE0B2-8D05-4C18-B055-93903A533C32}" name="Table3" displayName="Table3" ref="A1:F134" totalsRowShown="0">
  <autoFilter ref="A1:F134" xr:uid="{0E77B2F8-A0EB-46CB-9ABD-B05B90D748A4}"/>
  <tableColumns count="6">
    <tableColumn id="1" xr3:uid="{5652B0B7-9DF2-4C6E-80CF-160F83E658FA}" name="article"/>
    <tableColumn id="2" xr3:uid="{4CF1D529-6085-4D1F-AB38-E6B7A6B526D8}" name="sku"/>
    <tableColumn id="3" xr3:uid="{2ABC5C83-7A46-4091-9F6A-B86C0EED941E}" name="size"/>
    <tableColumn id="4" xr3:uid="{F4A9700C-A69F-4F4C-9EEE-05F403FB2B0E}" name="size id">
      <calculatedColumnFormula>VLOOKUP(Table3[[#This Row],[size]],sizes[],2,0)</calculatedColumnFormula>
    </tableColumn>
    <tableColumn id="5" xr3:uid="{74B8C782-B6C0-406C-973C-3277CC506C78}" name="price"/>
    <tableColumn id="6" xr3:uid="{DCDE6B39-7113-4D2A-ABD6-8A0F01A9BF37}" name="quantit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FD5FC1-BF71-4288-9459-064DDE8026F0}" name="sizes" displayName="sizes" ref="A1:B48" totalsRowShown="0" dataDxfId="13">
  <autoFilter ref="A1:B48" xr:uid="{BCB0E066-5D6E-4460-89E1-C7A6A79B0DC6}"/>
  <tableColumns count="2">
    <tableColumn id="1" xr3:uid="{03442C3F-CCB9-4DFE-93FF-D7B6688E4D55}" name="Size Label" dataDxfId="12"/>
    <tableColumn id="2" xr3:uid="{EE77B424-0880-4058-AAB5-3CCA7A0F0551}" name="Size ID"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914D29-2474-4AEA-8EAC-5F2ACA636AC0}" name="brands" displayName="brands" ref="D1:E48" totalsRowShown="0">
  <autoFilter ref="D1:E48" xr:uid="{88BE081A-18EC-41F8-8545-4133C8B4B585}"/>
  <tableColumns count="2">
    <tableColumn id="1" xr3:uid="{03DCB90B-F00A-4573-A7AA-9CDA168B3BF9}" name="Brand Label"/>
    <tableColumn id="2" xr3:uid="{7FB1240F-F01D-4E92-A275-FD88239ED50C}" name="Brand ID"/>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3F307D-C731-43DA-B22F-C2623F9C3264}" name="types" displayName="types" ref="G1:H7" totalsRowShown="0" dataDxfId="10">
  <autoFilter ref="G1:H7" xr:uid="{A412D981-BF96-4EE3-93E9-A9698A281363}"/>
  <tableColumns count="2">
    <tableColumn id="1" xr3:uid="{47AC7513-2C80-461D-ACAD-424F6A4DBD01}" name="Type Label" dataDxfId="9"/>
    <tableColumn id="2" xr3:uid="{C7AFA177-C41B-4481-A675-1A7C2FE320F2}" name="Type ID" dataDxfId="8"/>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7F097E4-5A72-46FF-88F9-E078657F7497}" name="genders" displayName="genders" ref="J1:K4" totalsRowShown="0" dataDxfId="7">
  <autoFilter ref="J1:K4" xr:uid="{B8B01E12-1FE0-456D-AFD0-5AB80B0CF27F}"/>
  <tableColumns count="2">
    <tableColumn id="1" xr3:uid="{B9C54CC5-BDA2-4B27-9FD1-BFA06264EEAD}" name="Gender Label" dataDxfId="6"/>
    <tableColumn id="2" xr3:uid="{9CF245C5-F975-438E-9300-CDFA56D79393}" name="Gender ID" dataDxfId="5"/>
  </tableColumns>
  <tableStyleInfo name="TableStyleMedium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C93F02-B5F2-4D18-86DD-A0A7F2AE2184}" name="categories" displayName="categories" ref="M1:N13" totalsRowShown="0" dataDxfId="4">
  <autoFilter ref="M1:N13" xr:uid="{B335A23A-5991-4159-9295-01E07B97993D}"/>
  <tableColumns count="2">
    <tableColumn id="1" xr3:uid="{E83A2AA9-BE51-4257-A7F3-9088E66B28DE}" name="Category Label" dataDxfId="3"/>
    <tableColumn id="2" xr3:uid="{4C86F012-5A60-436B-B677-E8A4D99E38E9}" name="Category ID" dataDxfId="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6EDFF-4A3E-45C7-9F52-1A7C9C7C1BAD}">
  <sheetPr codeName="Sheet1"/>
  <dimension ref="A1:O21"/>
  <sheetViews>
    <sheetView tabSelected="1" zoomScale="85" zoomScaleNormal="85" workbookViewId="0">
      <selection activeCell="L3" sqref="L3"/>
    </sheetView>
  </sheetViews>
  <sheetFormatPr defaultRowHeight="14.4" x14ac:dyDescent="0.3"/>
  <cols>
    <col min="1" max="1" width="14.33203125" customWidth="1"/>
    <col min="2" max="2" width="30.6640625" customWidth="1"/>
    <col min="3" max="4" width="12" customWidth="1"/>
    <col min="5" max="5" width="22" customWidth="1"/>
    <col min="6" max="6" width="15.5546875" customWidth="1"/>
    <col min="7" max="7" width="17" bestFit="1" customWidth="1"/>
    <col min="8" max="8" width="9.109375" customWidth="1"/>
    <col min="9" max="9" width="18" bestFit="1" customWidth="1"/>
    <col min="10" max="10" width="9.109375" customWidth="1"/>
    <col min="11" max="11" width="11.5546875" bestFit="1" customWidth="1"/>
    <col min="12" max="12" width="9.5546875" style="8" bestFit="1" customWidth="1"/>
    <col min="13" max="13" width="18.88671875" customWidth="1"/>
    <col min="14" max="14" width="20" customWidth="1"/>
    <col min="15" max="15" width="9.44140625" customWidth="1"/>
  </cols>
  <sheetData>
    <row r="1" spans="1:15" s="1" customFormat="1" x14ac:dyDescent="0.3">
      <c r="A1" s="1" t="s">
        <v>0</v>
      </c>
      <c r="B1" s="1" t="s">
        <v>8</v>
      </c>
      <c r="C1" s="1" t="s">
        <v>66</v>
      </c>
      <c r="D1" s="1" t="s">
        <v>67</v>
      </c>
      <c r="E1" s="1" t="s">
        <v>4</v>
      </c>
      <c r="F1" s="1" t="s">
        <v>52</v>
      </c>
      <c r="G1" s="1" t="s">
        <v>5</v>
      </c>
      <c r="H1" s="1" t="s">
        <v>53</v>
      </c>
      <c r="I1" s="1" t="s">
        <v>6</v>
      </c>
      <c r="J1" s="1" t="s">
        <v>54</v>
      </c>
      <c r="K1" s="1" t="s">
        <v>7</v>
      </c>
      <c r="L1" s="7" t="s">
        <v>3</v>
      </c>
      <c r="M1" s="1" t="s">
        <v>9</v>
      </c>
      <c r="N1" s="1" t="s">
        <v>10</v>
      </c>
      <c r="O1" s="1" t="s">
        <v>11</v>
      </c>
    </row>
    <row r="2" spans="1:15" x14ac:dyDescent="0.3">
      <c r="M2" s="3"/>
      <c r="N2" s="3"/>
    </row>
    <row r="3" spans="1:15" ht="409.6" x14ac:dyDescent="0.3">
      <c r="A3" s="4" t="s">
        <v>101</v>
      </c>
      <c r="B3" s="4" t="s">
        <v>102</v>
      </c>
      <c r="C3" s="4" t="s">
        <v>36</v>
      </c>
      <c r="D3" s="4">
        <f>VLOOKUP([1]!Table1[[#This Row],[Gender]],[1]!genders[#Data],2,0)</f>
        <v>136</v>
      </c>
      <c r="E3" s="4" t="str">
        <f>IF([1]!Table1[[#This Row],[Gender]]="Men","men,new-arrival",IF([1]!Table1[[#This Row],[Gender]]="Women","women,new-arrival",IF([1]!Table1[[#This Row],[Gender]]="Unisex","unisex,new-arrival","")))</f>
        <v>men,new-arrival</v>
      </c>
      <c r="F3" s="4" t="str">
        <f>VLOOKUP([1]!Table1[[#This Row],[categories]],[1]!categories[#Data],2,0)</f>
        <v>57,60</v>
      </c>
      <c r="G3" s="4" t="s">
        <v>29</v>
      </c>
      <c r="H3" s="4">
        <f>VLOOKUP([1]!Table1[[#This Row],[brand]],[1]!brands[#Data],2,0)</f>
        <v>159</v>
      </c>
      <c r="I3" s="4" t="s">
        <v>31</v>
      </c>
      <c r="J3" s="4">
        <f>VLOOKUP([1]!Table1[[#This Row],[type]],[1]!types[#Data],2,0)</f>
        <v>133</v>
      </c>
      <c r="K3" s="4" t="s">
        <v>103</v>
      </c>
      <c r="L3" s="9">
        <v>195</v>
      </c>
      <c r="M3" s="5" t="s">
        <v>104</v>
      </c>
    </row>
    <row r="4" spans="1:15" ht="360" x14ac:dyDescent="0.3">
      <c r="A4" s="4" t="s">
        <v>105</v>
      </c>
      <c r="B4" s="4" t="s">
        <v>106</v>
      </c>
      <c r="C4" s="4" t="s">
        <v>34</v>
      </c>
      <c r="D4" s="4">
        <f>VLOOKUP([1]!Table1[[#This Row],[Gender]],[1]!genders[#Data],2,0)</f>
        <v>137</v>
      </c>
      <c r="E4" s="4" t="str">
        <f>IF([1]!Table1[[#This Row],[Gender]]="Men","men,new-arrival",IF([1]!Table1[[#This Row],[Gender]]="Women","women,new-arrival",IF([1]!Table1[[#This Row],[Gender]]="Unisex","unisex,new-arrival","")))</f>
        <v>women,new-arrival</v>
      </c>
      <c r="F4" s="4" t="str">
        <f>VLOOKUP([1]!Table1[[#This Row],[categories]],[1]!categories[#Data],2,0)</f>
        <v>58,60</v>
      </c>
      <c r="G4" s="4" t="s">
        <v>29</v>
      </c>
      <c r="H4" s="4">
        <f>VLOOKUP([1]!Table1[[#This Row],[brand]],[1]!brands[#Data],2,0)</f>
        <v>159</v>
      </c>
      <c r="I4" s="4" t="s">
        <v>31</v>
      </c>
      <c r="J4" s="4">
        <f>VLOOKUP([1]!Table1[[#This Row],[type]],[1]!types[#Data],2,0)</f>
        <v>133</v>
      </c>
      <c r="K4" s="4" t="s">
        <v>107</v>
      </c>
      <c r="L4" s="9">
        <v>275</v>
      </c>
      <c r="M4" s="5" t="s">
        <v>108</v>
      </c>
    </row>
    <row r="5" spans="1:15" ht="345.6" x14ac:dyDescent="0.3">
      <c r="A5" s="4" t="s">
        <v>109</v>
      </c>
      <c r="B5" s="4" t="s">
        <v>110</v>
      </c>
      <c r="C5" s="4" t="s">
        <v>35</v>
      </c>
      <c r="D5" s="4">
        <f>VLOOKUP([1]!Table1[[#This Row],[Gender]],[1]!genders[#Data],2,0)</f>
        <v>138</v>
      </c>
      <c r="E5" s="4" t="str">
        <f>IF([1]!Table1[[#This Row],[Gender]]="Men","men,new-arrival",IF([1]!Table1[[#This Row],[Gender]]="Women","women,new-arrival",IF([1]!Table1[[#This Row],[Gender]]="Unisex","unisex,new-arrival","")))</f>
        <v>unisex,new-arrival</v>
      </c>
      <c r="F5" s="4" t="str">
        <f>VLOOKUP([1]!Table1[[#This Row],[categories]],[1]!categories[#Data],2,0)</f>
        <v>57,58,60</v>
      </c>
      <c r="G5" s="4" t="s">
        <v>29</v>
      </c>
      <c r="H5" s="4">
        <f>VLOOKUP([1]!Table1[[#This Row],[brand]],[1]!brands[#Data],2,0)</f>
        <v>159</v>
      </c>
      <c r="I5" s="4" t="s">
        <v>31</v>
      </c>
      <c r="J5" s="4">
        <f>VLOOKUP([1]!Table1[[#This Row],[type]],[1]!types[#Data],2,0)</f>
        <v>133</v>
      </c>
      <c r="K5" s="4" t="s">
        <v>111</v>
      </c>
      <c r="L5" s="9">
        <v>345</v>
      </c>
      <c r="M5" s="5" t="s">
        <v>112</v>
      </c>
    </row>
    <row r="6" spans="1:15" ht="409.6" x14ac:dyDescent="0.3">
      <c r="A6" s="4" t="s">
        <v>113</v>
      </c>
      <c r="B6" s="4" t="s">
        <v>114</v>
      </c>
      <c r="C6" s="4" t="s">
        <v>36</v>
      </c>
      <c r="D6" s="4">
        <f>VLOOKUP([1]!Table1[[#This Row],[Gender]],[1]!genders[#Data],2,0)</f>
        <v>137</v>
      </c>
      <c r="E6" s="4" t="str">
        <f>IF([1]!Table1[[#This Row],[Gender]]="Men","men,new-arrival",IF([1]!Table1[[#This Row],[Gender]]="Women","women,new-arrival",IF([1]!Table1[[#This Row],[Gender]]="Unisex","unisex,new-arrival","")))</f>
        <v>women,new-arrival</v>
      </c>
      <c r="F6" s="4" t="str">
        <f>VLOOKUP([1]!Table1[[#This Row],[categories]],[1]!categories[#Data],2,0)</f>
        <v>58,60</v>
      </c>
      <c r="G6" s="4" t="s">
        <v>29</v>
      </c>
      <c r="H6" s="4">
        <f>VLOOKUP([1]!Table1[[#This Row],[brand]],[1]!brands[#Data],2,0)</f>
        <v>159</v>
      </c>
      <c r="I6" s="4" t="s">
        <v>31</v>
      </c>
      <c r="J6" s="4">
        <f>VLOOKUP([1]!Table1[[#This Row],[type]],[1]!types[#Data],2,0)</f>
        <v>133</v>
      </c>
      <c r="K6" s="4" t="s">
        <v>115</v>
      </c>
      <c r="L6" s="9">
        <v>355</v>
      </c>
      <c r="M6" s="5" t="s">
        <v>116</v>
      </c>
    </row>
    <row r="7" spans="1:15" ht="345.6" x14ac:dyDescent="0.3">
      <c r="A7" s="4" t="s">
        <v>117</v>
      </c>
      <c r="B7" s="4" t="s">
        <v>110</v>
      </c>
      <c r="C7" s="4" t="s">
        <v>35</v>
      </c>
      <c r="D7" s="4">
        <f>VLOOKUP([1]!Table1[[#This Row],[Gender]],[1]!genders[#Data],2,0)</f>
        <v>138</v>
      </c>
      <c r="E7" s="4" t="str">
        <f>IF([1]!Table1[[#This Row],[Gender]]="Men","men,new-arrival",IF([1]!Table1[[#This Row],[Gender]]="Women","women,new-arrival",IF([1]!Table1[[#This Row],[Gender]]="Unisex","unisex,new-arrival","")))</f>
        <v>unisex,new-arrival</v>
      </c>
      <c r="F7" s="4" t="str">
        <f>VLOOKUP([1]!Table1[[#This Row],[categories]],[1]!categories[#Data],2,0)</f>
        <v>57,58,60</v>
      </c>
      <c r="G7" s="4" t="s">
        <v>29</v>
      </c>
      <c r="H7" s="4">
        <f>VLOOKUP([1]!Table1[[#This Row],[brand]],[1]!brands[#Data],2,0)</f>
        <v>159</v>
      </c>
      <c r="I7" s="4" t="s">
        <v>31</v>
      </c>
      <c r="J7" s="4">
        <f>VLOOKUP([1]!Table1[[#This Row],[type]],[1]!types[#Data],2,0)</f>
        <v>133</v>
      </c>
      <c r="K7" s="4" t="s">
        <v>118</v>
      </c>
      <c r="L7" s="9">
        <v>315</v>
      </c>
      <c r="M7" s="5" t="s">
        <v>119</v>
      </c>
    </row>
    <row r="8" spans="1:15" ht="331.2" x14ac:dyDescent="0.3">
      <c r="A8" s="4" t="s">
        <v>120</v>
      </c>
      <c r="B8" s="4" t="s">
        <v>121</v>
      </c>
      <c r="C8" s="4" t="s">
        <v>36</v>
      </c>
      <c r="D8" s="4">
        <f>VLOOKUP([1]!Table1[[#This Row],[Gender]],[1]!genders[#Data],2,0)</f>
        <v>137</v>
      </c>
      <c r="E8" s="4" t="str">
        <f>IF([1]!Table1[[#This Row],[Gender]]="Men","men,new-arrival",IF([1]!Table1[[#This Row],[Gender]]="Women","women,new-arrival",IF([1]!Table1[[#This Row],[Gender]]="Unisex","unisex,new-arrival","")))</f>
        <v>women,new-arrival</v>
      </c>
      <c r="F8" s="4" t="str">
        <f>VLOOKUP([1]!Table1[[#This Row],[categories]],[1]!categories[#Data],2,0)</f>
        <v>58,60</v>
      </c>
      <c r="G8" s="4" t="s">
        <v>29</v>
      </c>
      <c r="H8" s="4">
        <f>VLOOKUP([1]!Table1[[#This Row],[brand]],[1]!brands[#Data],2,0)</f>
        <v>159</v>
      </c>
      <c r="I8" s="4" t="s">
        <v>31</v>
      </c>
      <c r="J8" s="4">
        <f>VLOOKUP([1]!Table1[[#This Row],[type]],[1]!types[#Data],2,0)</f>
        <v>133</v>
      </c>
      <c r="K8" s="4" t="s">
        <v>122</v>
      </c>
      <c r="L8" s="9">
        <v>295</v>
      </c>
      <c r="M8" s="5" t="s">
        <v>123</v>
      </c>
    </row>
    <row r="9" spans="1:15" ht="360" x14ac:dyDescent="0.3">
      <c r="A9" s="4" t="s">
        <v>124</v>
      </c>
      <c r="B9" s="4" t="s">
        <v>125</v>
      </c>
      <c r="C9" s="4" t="s">
        <v>35</v>
      </c>
      <c r="D9" s="4">
        <f>VLOOKUP([1]!Table1[[#This Row],[Gender]],[1]!genders[#Data],2,0)</f>
        <v>137</v>
      </c>
      <c r="E9" s="4" t="str">
        <f>IF([1]!Table1[[#This Row],[Gender]]="Men","men,new-arrival",IF([1]!Table1[[#This Row],[Gender]]="Women","women,new-arrival",IF([1]!Table1[[#This Row],[Gender]]="Unisex","unisex,new-arrival","")))</f>
        <v>women,new-arrival</v>
      </c>
      <c r="F9" s="4" t="str">
        <f>VLOOKUP([1]!Table1[[#This Row],[categories]],[1]!categories[#Data],2,0)</f>
        <v>58,60</v>
      </c>
      <c r="G9" s="4" t="s">
        <v>29</v>
      </c>
      <c r="H9" s="4">
        <f>VLOOKUP([1]!Table1[[#This Row],[brand]],[1]!brands[#Data],2,0)</f>
        <v>159</v>
      </c>
      <c r="I9" s="4" t="s">
        <v>31</v>
      </c>
      <c r="J9" s="4">
        <f>VLOOKUP([1]!Table1[[#This Row],[type]],[1]!types[#Data],2,0)</f>
        <v>133</v>
      </c>
      <c r="K9" s="4" t="s">
        <v>126</v>
      </c>
      <c r="L9" s="9">
        <v>325</v>
      </c>
      <c r="M9" s="5" t="s">
        <v>127</v>
      </c>
    </row>
    <row r="10" spans="1:15" ht="374.4" x14ac:dyDescent="0.3">
      <c r="A10" s="4" t="s">
        <v>128</v>
      </c>
      <c r="B10" s="4" t="s">
        <v>106</v>
      </c>
      <c r="C10" s="4" t="s">
        <v>35</v>
      </c>
      <c r="D10" s="4">
        <f>VLOOKUP([1]!Table1[[#This Row],[Gender]],[1]!genders[#Data],2,0)</f>
        <v>138</v>
      </c>
      <c r="E10" s="4" t="str">
        <f>IF([1]!Table1[[#This Row],[Gender]]="Men","men,new-arrival",IF([1]!Table1[[#This Row],[Gender]]="Women","women,new-arrival",IF([1]!Table1[[#This Row],[Gender]]="Unisex","unisex,new-arrival","")))</f>
        <v>unisex,new-arrival</v>
      </c>
      <c r="F10" s="4" t="str">
        <f>VLOOKUP([1]!Table1[[#This Row],[categories]],[1]!categories[#Data],2,0)</f>
        <v>57,58,60</v>
      </c>
      <c r="G10" s="4" t="s">
        <v>29</v>
      </c>
      <c r="H10" s="4">
        <f>VLOOKUP([1]!Table1[[#This Row],[brand]],[1]!brands[#Data],2,0)</f>
        <v>159</v>
      </c>
      <c r="I10" s="4" t="s">
        <v>31</v>
      </c>
      <c r="J10" s="4">
        <f>VLOOKUP([1]!Table1[[#This Row],[type]],[1]!types[#Data],2,0)</f>
        <v>133</v>
      </c>
      <c r="K10" s="4" t="s">
        <v>129</v>
      </c>
      <c r="L10" s="9">
        <v>325</v>
      </c>
      <c r="M10" s="5" t="s">
        <v>130</v>
      </c>
    </row>
    <row r="11" spans="1:15" ht="409.6" x14ac:dyDescent="0.3">
      <c r="A11" s="4" t="s">
        <v>131</v>
      </c>
      <c r="B11" s="4" t="s">
        <v>132</v>
      </c>
      <c r="C11" s="4" t="s">
        <v>36</v>
      </c>
      <c r="D11" s="4">
        <f>VLOOKUP([1]!Table1[[#This Row],[Gender]],[1]!genders[#Data],2,0)</f>
        <v>138</v>
      </c>
      <c r="E11" s="4" t="str">
        <f>IF([1]!Table1[[#This Row],[Gender]]="Men","men,new-arrival",IF([1]!Table1[[#This Row],[Gender]]="Women","women,new-arrival",IF([1]!Table1[[#This Row],[Gender]]="Unisex","unisex,new-arrival","")))</f>
        <v>unisex,new-arrival</v>
      </c>
      <c r="F11" s="4" t="str">
        <f>VLOOKUP([1]!Table1[[#This Row],[categories]],[1]!categories[#Data],2,0)</f>
        <v>57,58,60</v>
      </c>
      <c r="G11" s="4" t="s">
        <v>29</v>
      </c>
      <c r="H11" s="4">
        <f>VLOOKUP([1]!Table1[[#This Row],[brand]],[1]!brands[#Data],2,0)</f>
        <v>159</v>
      </c>
      <c r="I11" s="4" t="s">
        <v>31</v>
      </c>
      <c r="J11" s="4">
        <f>VLOOKUP([1]!Table1[[#This Row],[type]],[1]!types[#Data],2,0)</f>
        <v>133</v>
      </c>
      <c r="K11" s="4" t="s">
        <v>133</v>
      </c>
      <c r="L11" s="9">
        <v>235</v>
      </c>
      <c r="M11" s="5" t="s">
        <v>134</v>
      </c>
    </row>
    <row r="12" spans="1:15" ht="374.4" x14ac:dyDescent="0.3">
      <c r="A12" s="4" t="s">
        <v>135</v>
      </c>
      <c r="B12" s="4" t="s">
        <v>136</v>
      </c>
      <c r="C12" s="4" t="s">
        <v>36</v>
      </c>
      <c r="D12" s="4">
        <f>VLOOKUP([1]!Table1[[#This Row],[Gender]],[1]!genders[#Data],2,0)</f>
        <v>138</v>
      </c>
      <c r="E12" s="4" t="str">
        <f>IF([1]!Table1[[#This Row],[Gender]]="Men","men,new-arrival",IF([1]!Table1[[#This Row],[Gender]]="Women","women,new-arrival",IF([1]!Table1[[#This Row],[Gender]]="Unisex","unisex,new-arrival","")))</f>
        <v>unisex,new-arrival</v>
      </c>
      <c r="F12" s="4" t="str">
        <f>VLOOKUP([1]!Table1[[#This Row],[categories]],[1]!categories[#Data],2,0)</f>
        <v>57,58,60</v>
      </c>
      <c r="G12" s="4" t="s">
        <v>29</v>
      </c>
      <c r="H12" s="4">
        <f>VLOOKUP([1]!Table1[[#This Row],[brand]],[1]!brands[#Data],2,0)</f>
        <v>159</v>
      </c>
      <c r="I12" s="4" t="s">
        <v>31</v>
      </c>
      <c r="J12" s="4">
        <f>VLOOKUP([1]!Table1[[#This Row],[type]],[1]!types[#Data],2,0)</f>
        <v>133</v>
      </c>
      <c r="K12" s="4" t="s">
        <v>137</v>
      </c>
      <c r="L12" s="9">
        <v>375</v>
      </c>
      <c r="M12" s="5" t="s">
        <v>138</v>
      </c>
    </row>
    <row r="13" spans="1:15" ht="345.6" x14ac:dyDescent="0.3">
      <c r="A13" s="4" t="s">
        <v>139</v>
      </c>
      <c r="B13" s="4" t="s">
        <v>110</v>
      </c>
      <c r="C13" s="4" t="s">
        <v>36</v>
      </c>
      <c r="D13" s="4">
        <f>VLOOKUP([1]!Table1[[#This Row],[Gender]],[1]!genders[#Data],2,0)</f>
        <v>137</v>
      </c>
      <c r="E13" s="4" t="str">
        <f>IF([1]!Table1[[#This Row],[Gender]]="Men","men,new-arrival",IF([1]!Table1[[#This Row],[Gender]]="Women","women,new-arrival",IF([1]!Table1[[#This Row],[Gender]]="Unisex","unisex,new-arrival","")))</f>
        <v>women,new-arrival</v>
      </c>
      <c r="F13" s="4" t="str">
        <f>VLOOKUP([1]!Table1[[#This Row],[categories]],[1]!categories[#Data],2,0)</f>
        <v>58,60</v>
      </c>
      <c r="G13" s="4" t="s">
        <v>29</v>
      </c>
      <c r="H13" s="4">
        <f>VLOOKUP([1]!Table1[[#This Row],[brand]],[1]!brands[#Data],2,0)</f>
        <v>159</v>
      </c>
      <c r="I13" s="4" t="s">
        <v>31</v>
      </c>
      <c r="J13" s="4">
        <f>VLOOKUP([1]!Table1[[#This Row],[type]],[1]!types[#Data],2,0)</f>
        <v>133</v>
      </c>
      <c r="K13" s="4" t="s">
        <v>140</v>
      </c>
      <c r="L13" s="9">
        <v>295</v>
      </c>
      <c r="M13" s="5" t="s">
        <v>141</v>
      </c>
    </row>
    <row r="14" spans="1:15" ht="409.6" x14ac:dyDescent="0.3">
      <c r="A14" s="4" t="s">
        <v>142</v>
      </c>
      <c r="B14" s="4" t="s">
        <v>132</v>
      </c>
      <c r="C14" s="4" t="s">
        <v>35</v>
      </c>
      <c r="D14" s="4">
        <f>VLOOKUP([1]!Table1[[#This Row],[Gender]],[1]!genders[#Data],2,0)</f>
        <v>138</v>
      </c>
      <c r="E14" s="4" t="str">
        <f>IF([1]!Table1[[#This Row],[Gender]]="Men","men,new-arrival",IF([1]!Table1[[#This Row],[Gender]]="Women","women,new-arrival",IF([1]!Table1[[#This Row],[Gender]]="Unisex","unisex,new-arrival","")))</f>
        <v>unisex,new-arrival</v>
      </c>
      <c r="F14" s="4" t="str">
        <f>VLOOKUP([1]!Table1[[#This Row],[categories]],[1]!categories[#Data],2,0)</f>
        <v>57,58,60</v>
      </c>
      <c r="G14" s="4" t="s">
        <v>29</v>
      </c>
      <c r="H14" s="4">
        <f>VLOOKUP([1]!Table1[[#This Row],[brand]],[1]!brands[#Data],2,0)</f>
        <v>159</v>
      </c>
      <c r="I14" s="4" t="s">
        <v>31</v>
      </c>
      <c r="J14" s="4">
        <f>VLOOKUP([1]!Table1[[#This Row],[type]],[1]!types[#Data],2,0)</f>
        <v>133</v>
      </c>
      <c r="K14" s="4" t="s">
        <v>103</v>
      </c>
      <c r="L14" s="9">
        <v>275</v>
      </c>
      <c r="M14" s="5" t="s">
        <v>143</v>
      </c>
    </row>
    <row r="15" spans="1:15" ht="374.4" x14ac:dyDescent="0.3">
      <c r="A15" s="4" t="s">
        <v>144</v>
      </c>
      <c r="B15" s="4" t="s">
        <v>106</v>
      </c>
      <c r="C15" s="4" t="s">
        <v>36</v>
      </c>
      <c r="D15" s="4">
        <f>VLOOKUP([1]!Table1[[#This Row],[Gender]],[1]!genders[#Data],2,0)</f>
        <v>137</v>
      </c>
      <c r="E15" s="4" t="str">
        <f>IF([1]!Table1[[#This Row],[Gender]]="Men","men,new-arrival",IF([1]!Table1[[#This Row],[Gender]]="Women","women,new-arrival",IF([1]!Table1[[#This Row],[Gender]]="Unisex","unisex,new-arrival","")))</f>
        <v>women,new-arrival</v>
      </c>
      <c r="F15" s="4" t="str">
        <f>VLOOKUP([1]!Table1[[#This Row],[categories]],[1]!categories[#Data],2,0)</f>
        <v>58,60</v>
      </c>
      <c r="G15" s="4" t="s">
        <v>29</v>
      </c>
      <c r="H15" s="4">
        <f>VLOOKUP([1]!Table1[[#This Row],[brand]],[1]!brands[#Data],2,0)</f>
        <v>159</v>
      </c>
      <c r="I15" s="4" t="s">
        <v>31</v>
      </c>
      <c r="J15" s="4">
        <f>VLOOKUP([1]!Table1[[#This Row],[type]],[1]!types[#Data],2,0)</f>
        <v>133</v>
      </c>
      <c r="K15" s="4" t="s">
        <v>145</v>
      </c>
      <c r="L15" s="9">
        <v>295</v>
      </c>
      <c r="M15" s="5" t="s">
        <v>146</v>
      </c>
    </row>
    <row r="16" spans="1:15" ht="345.6" x14ac:dyDescent="0.3">
      <c r="A16" s="4" t="s">
        <v>147</v>
      </c>
      <c r="B16" s="4" t="s">
        <v>110</v>
      </c>
      <c r="C16" s="4" t="s">
        <v>35</v>
      </c>
      <c r="D16" s="4">
        <f>VLOOKUP([1]!Table1[[#This Row],[Gender]],[1]!genders[#Data],2,0)</f>
        <v>137</v>
      </c>
      <c r="E16" s="4" t="str">
        <f>IF([1]!Table1[[#This Row],[Gender]]="Men","men,new-arrival",IF([1]!Table1[[#This Row],[Gender]]="Women","women,new-arrival",IF([1]!Table1[[#This Row],[Gender]]="Unisex","unisex,new-arrival","")))</f>
        <v>women,new-arrival</v>
      </c>
      <c r="F16" s="4" t="str">
        <f>VLOOKUP([1]!Table1[[#This Row],[categories]],[1]!categories[#Data],2,0)</f>
        <v>58,60</v>
      </c>
      <c r="G16" s="4" t="s">
        <v>29</v>
      </c>
      <c r="H16" s="4">
        <f>VLOOKUP([1]!Table1[[#This Row],[brand]],[1]!brands[#Data],2,0)</f>
        <v>159</v>
      </c>
      <c r="I16" s="4" t="s">
        <v>31</v>
      </c>
      <c r="J16" s="4">
        <f>VLOOKUP([1]!Table1[[#This Row],[type]],[1]!types[#Data],2,0)</f>
        <v>133</v>
      </c>
      <c r="K16" s="4" t="s">
        <v>148</v>
      </c>
      <c r="L16" s="9">
        <v>355</v>
      </c>
      <c r="M16" s="5" t="s">
        <v>149</v>
      </c>
    </row>
    <row r="17" spans="1:13" ht="409.6" x14ac:dyDescent="0.3">
      <c r="A17" s="4" t="s">
        <v>150</v>
      </c>
      <c r="B17" s="4" t="s">
        <v>132</v>
      </c>
      <c r="C17" s="4" t="s">
        <v>35</v>
      </c>
      <c r="D17" s="4">
        <f>VLOOKUP([1]!Table1[[#This Row],[Gender]],[1]!genders[#Data],2,0)</f>
        <v>137</v>
      </c>
      <c r="E17" s="4" t="str">
        <f>IF([1]!Table1[[#This Row],[Gender]]="Men","men,new-arrival",IF([1]!Table1[[#This Row],[Gender]]="Women","women,new-arrival",IF([1]!Table1[[#This Row],[Gender]]="Unisex","unisex,new-arrival","")))</f>
        <v>women,new-arrival</v>
      </c>
      <c r="F17" s="4" t="str">
        <f>VLOOKUP([1]!Table1[[#This Row],[categories]],[1]!categories[#Data],2,0)</f>
        <v>58,60</v>
      </c>
      <c r="G17" s="4" t="s">
        <v>29</v>
      </c>
      <c r="H17" s="4">
        <f>VLOOKUP([1]!Table1[[#This Row],[brand]],[1]!brands[#Data],2,0)</f>
        <v>159</v>
      </c>
      <c r="I17" s="4" t="s">
        <v>31</v>
      </c>
      <c r="J17" s="4">
        <f>VLOOKUP([1]!Table1[[#This Row],[type]],[1]!types[#Data],2,0)</f>
        <v>133</v>
      </c>
      <c r="K17" s="4" t="s">
        <v>103</v>
      </c>
      <c r="L17" s="9">
        <v>275</v>
      </c>
      <c r="M17" s="5" t="s">
        <v>151</v>
      </c>
    </row>
    <row r="18" spans="1:13" ht="409.6" x14ac:dyDescent="0.3">
      <c r="A18" s="4" t="s">
        <v>152</v>
      </c>
      <c r="B18" s="4" t="s">
        <v>132</v>
      </c>
      <c r="C18" s="4" t="s">
        <v>35</v>
      </c>
      <c r="D18" s="4">
        <f>VLOOKUP([1]!Table1[[#This Row],[Gender]],[1]!genders[#Data],2,0)</f>
        <v>137</v>
      </c>
      <c r="E18" s="4" t="str">
        <f>IF([1]!Table1[[#This Row],[Gender]]="Men","men,new-arrival",IF([1]!Table1[[#This Row],[Gender]]="Women","women,new-arrival",IF([1]!Table1[[#This Row],[Gender]]="Unisex","unisex,new-arrival","")))</f>
        <v>women,new-arrival</v>
      </c>
      <c r="F18" s="4" t="str">
        <f>VLOOKUP([1]!Table1[[#This Row],[categories]],[1]!categories[#Data],2,0)</f>
        <v>58,60</v>
      </c>
      <c r="G18" s="4" t="s">
        <v>29</v>
      </c>
      <c r="H18" s="4">
        <f>VLOOKUP([1]!Table1[[#This Row],[brand]],[1]!brands[#Data],2,0)</f>
        <v>159</v>
      </c>
      <c r="I18" s="4" t="s">
        <v>31</v>
      </c>
      <c r="J18" s="4">
        <f>VLOOKUP([1]!Table1[[#This Row],[type]],[1]!types[#Data],2,0)</f>
        <v>133</v>
      </c>
      <c r="K18" s="4" t="s">
        <v>153</v>
      </c>
      <c r="L18" s="9">
        <v>275</v>
      </c>
      <c r="M18" s="5" t="s">
        <v>154</v>
      </c>
    </row>
    <row r="19" spans="1:13" ht="331.2" x14ac:dyDescent="0.3">
      <c r="A19" s="4" t="s">
        <v>155</v>
      </c>
      <c r="B19" s="4" t="s">
        <v>156</v>
      </c>
      <c r="C19" s="4" t="s">
        <v>35</v>
      </c>
      <c r="D19" s="4">
        <f>VLOOKUP([1]!Table1[[#This Row],[Gender]],[1]!genders[#Data],2,0)</f>
        <v>137</v>
      </c>
      <c r="E19" s="4" t="str">
        <f>IF([1]!Table1[[#This Row],[Gender]]="Men","men,new-arrival",IF([1]!Table1[[#This Row],[Gender]]="Women","women,new-arrival",IF([1]!Table1[[#This Row],[Gender]]="Unisex","unisex,new-arrival","")))</f>
        <v>women,new-arrival</v>
      </c>
      <c r="F19" s="4" t="str">
        <f>VLOOKUP([1]!Table1[[#This Row],[categories]],[1]!categories[#Data],2,0)</f>
        <v>58,60</v>
      </c>
      <c r="G19" s="4" t="s">
        <v>29</v>
      </c>
      <c r="H19" s="4">
        <f>VLOOKUP([1]!Table1[[#This Row],[brand]],[1]!brands[#Data],2,0)</f>
        <v>159</v>
      </c>
      <c r="I19" s="4" t="s">
        <v>31</v>
      </c>
      <c r="J19" s="4">
        <f>VLOOKUP([1]!Table1[[#This Row],[type]],[1]!types[#Data],2,0)</f>
        <v>133</v>
      </c>
      <c r="K19" s="4" t="s">
        <v>126</v>
      </c>
      <c r="L19" s="9">
        <v>345</v>
      </c>
      <c r="M19" s="5" t="s">
        <v>157</v>
      </c>
    </row>
    <row r="20" spans="1:13" ht="388.8" x14ac:dyDescent="0.3">
      <c r="A20" s="4" t="s">
        <v>158</v>
      </c>
      <c r="B20" s="4" t="s">
        <v>159</v>
      </c>
      <c r="C20" s="4" t="s">
        <v>35</v>
      </c>
      <c r="D20" s="4">
        <f>VLOOKUP([1]!Table1[[#This Row],[Gender]],[1]!genders[#Data],2,0)</f>
        <v>137</v>
      </c>
      <c r="E20" s="4" t="str">
        <f>IF([1]!Table1[[#This Row],[Gender]]="Men","men,new-arrival",IF([1]!Table1[[#This Row],[Gender]]="Women","women,new-arrival",IF([1]!Table1[[#This Row],[Gender]]="Unisex","unisex,new-arrival","")))</f>
        <v>women,new-arrival</v>
      </c>
      <c r="F20" s="4" t="str">
        <f>VLOOKUP([1]!Table1[[#This Row],[categories]],[1]!categories[#Data],2,0)</f>
        <v>58,60</v>
      </c>
      <c r="G20" s="4" t="s">
        <v>29</v>
      </c>
      <c r="H20" s="4">
        <f>VLOOKUP([1]!Table1[[#This Row],[brand]],[1]!brands[#Data],2,0)</f>
        <v>159</v>
      </c>
      <c r="I20" s="4" t="s">
        <v>31</v>
      </c>
      <c r="J20" s="4">
        <f>VLOOKUP([1]!Table1[[#This Row],[type]],[1]!types[#Data],2,0)</f>
        <v>133</v>
      </c>
      <c r="K20" s="4" t="s">
        <v>103</v>
      </c>
      <c r="L20" s="9">
        <v>245</v>
      </c>
      <c r="M20" s="5" t="s">
        <v>160</v>
      </c>
    </row>
    <row r="21" spans="1:13" ht="409.6" x14ac:dyDescent="0.3">
      <c r="A21" s="4" t="s">
        <v>161</v>
      </c>
      <c r="B21" s="4" t="s">
        <v>132</v>
      </c>
      <c r="C21" s="4" t="s">
        <v>35</v>
      </c>
      <c r="D21" s="4" t="e">
        <f>VLOOKUP([1]!Table1[[#This Row],[Gender]],[1]!genders[#Data],2,0)</f>
        <v>#VALUE!</v>
      </c>
      <c r="E21" s="4" t="e">
        <f>IF([1]!Table1[[#This Row],[Gender]]="Men","men,new-arrival",IF([1]!Table1[[#This Row],[Gender]]="Women","women,new-arrival",IF([1]!Table1[[#This Row],[Gender]]="Unisex","unisex,new-arrival","")))</f>
        <v>#VALUE!</v>
      </c>
      <c r="F21" s="4" t="e">
        <f>VLOOKUP([1]!Table1[[#This Row],[categories]],[1]!categories[#Data],2,0)</f>
        <v>#VALUE!</v>
      </c>
      <c r="G21" s="4" t="s">
        <v>29</v>
      </c>
      <c r="H21" s="4" t="e">
        <f>VLOOKUP([1]!Table1[[#This Row],[brand]],[1]!brands[#Data],2,0)</f>
        <v>#VALUE!</v>
      </c>
      <c r="I21" s="4" t="s">
        <v>31</v>
      </c>
      <c r="J21" s="4" t="e">
        <f>VLOOKUP([1]!Table1[[#This Row],[type]],[1]!types[#Data],2,0)</f>
        <v>#VALUE!</v>
      </c>
      <c r="K21" s="4" t="s">
        <v>103</v>
      </c>
      <c r="L21" s="9">
        <v>275</v>
      </c>
      <c r="M21" s="5" t="s">
        <v>162</v>
      </c>
    </row>
  </sheetData>
  <phoneticPr fontId="2" type="noConversion"/>
  <conditionalFormatting sqref="A3:A21">
    <cfRule type="duplicateValues" dxfId="1" priority="1"/>
  </conditionalFormatting>
  <dataValidations count="4">
    <dataValidation type="list" allowBlank="1" showInputMessage="1" showErrorMessage="1" sqref="G2:G21" xr:uid="{3CCA8755-D201-4F1B-B656-7CEE89143A21}">
      <formula1>INDIRECT("Brands[Brand Label]")</formula1>
    </dataValidation>
    <dataValidation type="list" allowBlank="1" showInputMessage="1" showErrorMessage="1" sqref="I2:I21" xr:uid="{3E0C0718-010E-412E-89BC-BCC552F701D7}">
      <formula1>INDIRECT("Types[Type Label]")</formula1>
    </dataValidation>
    <dataValidation type="list" allowBlank="1" showInputMessage="1" showErrorMessage="1" sqref="E2:E21" xr:uid="{FC100939-2A46-4F28-ACD5-AECBB804ADEC}">
      <formula1>INDIRECT("Categories[Category Label]")</formula1>
    </dataValidation>
    <dataValidation type="list" allowBlank="1" showInputMessage="1" showErrorMessage="1" sqref="C2:C21" xr:uid="{9734D38C-D37D-4576-BEEC-BB852E8555BC}">
      <formula1>INDIRECT("Genders[Gender Label]")</formula1>
    </dataValidation>
  </dataValidations>
  <pageMargins left="0.7" right="0.7" top="0.75" bottom="0.75" header="0.3" footer="0.3"/>
  <pageSetup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F9964-5E46-432D-8602-892F0C7FFD0E}">
  <sheetPr codeName="Sheet2"/>
  <dimension ref="A1:F134"/>
  <sheetViews>
    <sheetView workbookViewId="0">
      <selection activeCell="D7" sqref="D7"/>
    </sheetView>
  </sheetViews>
  <sheetFormatPr defaultRowHeight="14.4" x14ac:dyDescent="0.3"/>
  <cols>
    <col min="1" max="1" width="11.77734375" bestFit="1" customWidth="1"/>
    <col min="2" max="2" width="13.109375" bestFit="1" customWidth="1"/>
    <col min="4" max="4" width="9.109375" customWidth="1"/>
  </cols>
  <sheetData>
    <row r="1" spans="1:6" x14ac:dyDescent="0.3">
      <c r="A1" t="s">
        <v>0</v>
      </c>
      <c r="B1" t="s">
        <v>1</v>
      </c>
      <c r="C1" t="s">
        <v>2</v>
      </c>
      <c r="D1" t="s">
        <v>55</v>
      </c>
      <c r="E1" t="s">
        <v>3</v>
      </c>
      <c r="F1" t="s">
        <v>68</v>
      </c>
    </row>
    <row r="2" spans="1:6" x14ac:dyDescent="0.3">
      <c r="A2" s="4" t="s">
        <v>124</v>
      </c>
      <c r="B2" s="6">
        <v>888757098576</v>
      </c>
      <c r="C2" s="4">
        <v>39</v>
      </c>
      <c r="D2">
        <f>VLOOKUP(Table3[[#This Row],[size]],sizes[],2,0)</f>
        <v>38</v>
      </c>
      <c r="F2">
        <v>0</v>
      </c>
    </row>
    <row r="3" spans="1:6" x14ac:dyDescent="0.3">
      <c r="A3" s="4" t="s">
        <v>128</v>
      </c>
      <c r="B3" s="6">
        <v>888757098743</v>
      </c>
      <c r="C3" s="4">
        <v>37</v>
      </c>
      <c r="D3">
        <f>VLOOKUP(Table3[[#This Row],[size]],sizes[],2,0)</f>
        <v>70</v>
      </c>
      <c r="F3">
        <v>0</v>
      </c>
    </row>
    <row r="4" spans="1:6" x14ac:dyDescent="0.3">
      <c r="A4" s="4" t="s">
        <v>120</v>
      </c>
      <c r="B4" s="6">
        <v>888757097135</v>
      </c>
      <c r="C4" s="4">
        <v>42</v>
      </c>
      <c r="D4">
        <f>VLOOKUP(Table3[[#This Row],[size]],sizes[],2,0)</f>
        <v>19</v>
      </c>
      <c r="F4">
        <v>0</v>
      </c>
    </row>
    <row r="5" spans="1:6" x14ac:dyDescent="0.3">
      <c r="A5" s="4" t="s">
        <v>124</v>
      </c>
      <c r="B5" s="6">
        <v>888757098583</v>
      </c>
      <c r="C5" s="4">
        <v>39.5</v>
      </c>
      <c r="D5">
        <f>VLOOKUP(Table3[[#This Row],[size]],sizes[],2,0)</f>
        <v>39</v>
      </c>
      <c r="F5">
        <v>0</v>
      </c>
    </row>
    <row r="6" spans="1:6" x14ac:dyDescent="0.3">
      <c r="A6" s="4" t="s">
        <v>150</v>
      </c>
      <c r="B6" s="6">
        <v>888756864950</v>
      </c>
      <c r="C6" s="4">
        <v>39</v>
      </c>
      <c r="D6">
        <f>VLOOKUP(Table3[[#This Row],[size]],sizes[],2,0)</f>
        <v>38</v>
      </c>
      <c r="F6">
        <v>0</v>
      </c>
    </row>
    <row r="7" spans="1:6" x14ac:dyDescent="0.3">
      <c r="A7" s="4" t="s">
        <v>128</v>
      </c>
      <c r="B7" s="6">
        <v>888757098750</v>
      </c>
      <c r="C7" s="4">
        <v>37.5</v>
      </c>
      <c r="D7">
        <f>VLOOKUP(Table3[[#This Row],[size]],sizes[],2,0)</f>
        <v>36</v>
      </c>
      <c r="F7">
        <v>0</v>
      </c>
    </row>
    <row r="8" spans="1:6" x14ac:dyDescent="0.3">
      <c r="A8" s="4" t="s">
        <v>161</v>
      </c>
      <c r="B8" s="6">
        <v>888757157426</v>
      </c>
      <c r="C8" s="4">
        <v>40</v>
      </c>
      <c r="D8">
        <f>VLOOKUP(Table3[[#This Row],[size]],sizes[],2,0)</f>
        <v>17</v>
      </c>
      <c r="F8">
        <v>0</v>
      </c>
    </row>
    <row r="9" spans="1:6" x14ac:dyDescent="0.3">
      <c r="A9" s="4" t="s">
        <v>120</v>
      </c>
      <c r="B9" s="6">
        <v>888757096930</v>
      </c>
      <c r="C9" s="4">
        <v>44</v>
      </c>
      <c r="D9">
        <f>VLOOKUP(Table3[[#This Row],[size]],sizes[],2,0)</f>
        <v>50</v>
      </c>
      <c r="F9">
        <v>0</v>
      </c>
    </row>
    <row r="10" spans="1:6" x14ac:dyDescent="0.3">
      <c r="A10" s="4" t="s">
        <v>113</v>
      </c>
      <c r="B10" s="6">
        <v>888756809364</v>
      </c>
      <c r="C10" s="4">
        <v>41.5</v>
      </c>
      <c r="D10">
        <f>VLOOKUP(Table3[[#This Row],[size]],sizes[],2,0)</f>
        <v>44</v>
      </c>
      <c r="F10">
        <v>0</v>
      </c>
    </row>
    <row r="11" spans="1:6" x14ac:dyDescent="0.3">
      <c r="A11" s="4" t="s">
        <v>128</v>
      </c>
      <c r="B11" s="6">
        <v>888757098767</v>
      </c>
      <c r="C11" s="4">
        <v>38</v>
      </c>
      <c r="D11">
        <f>VLOOKUP(Table3[[#This Row],[size]],sizes[],2,0)</f>
        <v>14</v>
      </c>
      <c r="F11">
        <v>0</v>
      </c>
    </row>
    <row r="12" spans="1:6" x14ac:dyDescent="0.3">
      <c r="A12" s="4" t="s">
        <v>124</v>
      </c>
      <c r="B12" s="6">
        <v>888757098590</v>
      </c>
      <c r="C12" s="4">
        <v>40</v>
      </c>
      <c r="D12">
        <f>VLOOKUP(Table3[[#This Row],[size]],sizes[],2,0)</f>
        <v>17</v>
      </c>
      <c r="F12">
        <v>0</v>
      </c>
    </row>
    <row r="13" spans="1:6" x14ac:dyDescent="0.3">
      <c r="A13" s="4" t="s">
        <v>109</v>
      </c>
      <c r="B13" s="6">
        <v>888756800101</v>
      </c>
      <c r="C13" s="4">
        <v>41</v>
      </c>
      <c r="D13">
        <f>VLOOKUP(Table3[[#This Row],[size]],sizes[],2,0)</f>
        <v>43</v>
      </c>
      <c r="F13">
        <v>0</v>
      </c>
    </row>
    <row r="14" spans="1:6" x14ac:dyDescent="0.3">
      <c r="A14" s="4" t="s">
        <v>117</v>
      </c>
      <c r="B14" s="6">
        <v>888757095551</v>
      </c>
      <c r="C14" s="4">
        <v>36.5</v>
      </c>
      <c r="D14">
        <f>VLOOKUP(Table3[[#This Row],[size]],sizes[],2,0)</f>
        <v>35</v>
      </c>
      <c r="F14">
        <v>0</v>
      </c>
    </row>
    <row r="15" spans="1:6" x14ac:dyDescent="0.3">
      <c r="A15" s="4" t="s">
        <v>101</v>
      </c>
      <c r="B15" s="6">
        <v>888756408918</v>
      </c>
      <c r="C15" s="4">
        <v>45</v>
      </c>
      <c r="D15">
        <f>VLOOKUP(Table3[[#This Row],[size]],sizes[],2,0)</f>
        <v>52</v>
      </c>
      <c r="F15">
        <v>0</v>
      </c>
    </row>
    <row r="16" spans="1:6" x14ac:dyDescent="0.3">
      <c r="A16" s="4" t="s">
        <v>101</v>
      </c>
      <c r="B16" s="6">
        <v>888756409014</v>
      </c>
      <c r="C16" s="4">
        <v>38.5</v>
      </c>
      <c r="D16">
        <f>VLOOKUP(Table3[[#This Row],[size]],sizes[],2,0)</f>
        <v>37</v>
      </c>
      <c r="F16">
        <v>0</v>
      </c>
    </row>
    <row r="17" spans="1:6" x14ac:dyDescent="0.3">
      <c r="A17" s="4" t="s">
        <v>135</v>
      </c>
      <c r="B17" s="6">
        <v>888757557769</v>
      </c>
      <c r="C17" s="4">
        <v>38</v>
      </c>
      <c r="D17">
        <f>VLOOKUP(Table3[[#This Row],[size]],sizes[],2,0)</f>
        <v>14</v>
      </c>
      <c r="F17">
        <v>0</v>
      </c>
    </row>
    <row r="18" spans="1:6" x14ac:dyDescent="0.3">
      <c r="A18" s="4" t="s">
        <v>135</v>
      </c>
      <c r="B18" s="6">
        <v>888757557653</v>
      </c>
      <c r="C18" s="4">
        <v>46</v>
      </c>
      <c r="D18">
        <f>VLOOKUP(Table3[[#This Row],[size]],sizes[],2,0)</f>
        <v>24</v>
      </c>
      <c r="F18">
        <v>0</v>
      </c>
    </row>
    <row r="19" spans="1:6" x14ac:dyDescent="0.3">
      <c r="A19" s="4" t="s">
        <v>101</v>
      </c>
      <c r="B19" s="6">
        <v>888756409069</v>
      </c>
      <c r="C19" s="4">
        <v>42</v>
      </c>
      <c r="D19">
        <f>VLOOKUP(Table3[[#This Row],[size]],sizes[],2,0)</f>
        <v>19</v>
      </c>
      <c r="F19">
        <v>0</v>
      </c>
    </row>
    <row r="20" spans="1:6" x14ac:dyDescent="0.3">
      <c r="A20" s="4" t="s">
        <v>131</v>
      </c>
      <c r="B20" s="6">
        <v>888757116157</v>
      </c>
      <c r="C20" s="4">
        <v>43</v>
      </c>
      <c r="D20">
        <f>VLOOKUP(Table3[[#This Row],[size]],sizes[],2,0)</f>
        <v>47</v>
      </c>
      <c r="F20">
        <v>0</v>
      </c>
    </row>
    <row r="21" spans="1:6" x14ac:dyDescent="0.3">
      <c r="A21" s="4" t="s">
        <v>158</v>
      </c>
      <c r="B21" s="6">
        <v>888757138166</v>
      </c>
      <c r="C21" s="4">
        <v>39</v>
      </c>
      <c r="D21">
        <f>VLOOKUP(Table3[[#This Row],[size]],sizes[],2,0)</f>
        <v>38</v>
      </c>
      <c r="F21">
        <v>0</v>
      </c>
    </row>
    <row r="22" spans="1:6" x14ac:dyDescent="0.3">
      <c r="A22" s="4" t="s">
        <v>135</v>
      </c>
      <c r="B22" s="6">
        <v>888757557837</v>
      </c>
      <c r="C22" s="4">
        <v>42.5</v>
      </c>
      <c r="D22">
        <f>VLOOKUP(Table3[[#This Row],[size]],sizes[],2,0)</f>
        <v>46</v>
      </c>
      <c r="F22">
        <v>0</v>
      </c>
    </row>
    <row r="23" spans="1:6" x14ac:dyDescent="0.3">
      <c r="A23" s="4" t="s">
        <v>120</v>
      </c>
      <c r="B23" s="6">
        <v>888757097142</v>
      </c>
      <c r="C23" s="4">
        <v>42.5</v>
      </c>
      <c r="D23">
        <f>VLOOKUP(Table3[[#This Row],[size]],sizes[],2,0)</f>
        <v>46</v>
      </c>
      <c r="F23">
        <v>0</v>
      </c>
    </row>
    <row r="24" spans="1:6" x14ac:dyDescent="0.3">
      <c r="A24" s="4" t="s">
        <v>105</v>
      </c>
      <c r="B24" s="6">
        <v>888756447900</v>
      </c>
      <c r="C24" s="4">
        <v>42</v>
      </c>
      <c r="D24">
        <f>VLOOKUP(Table3[[#This Row],[size]],sizes[],2,0)</f>
        <v>19</v>
      </c>
      <c r="F24">
        <v>0</v>
      </c>
    </row>
    <row r="25" spans="1:6" x14ac:dyDescent="0.3">
      <c r="A25" s="4" t="s">
        <v>135</v>
      </c>
      <c r="B25" s="6">
        <v>888757557844</v>
      </c>
      <c r="C25" s="4">
        <v>43</v>
      </c>
      <c r="D25">
        <f>VLOOKUP(Table3[[#This Row],[size]],sizes[],2,0)</f>
        <v>47</v>
      </c>
      <c r="F25">
        <v>0</v>
      </c>
    </row>
    <row r="26" spans="1:6" x14ac:dyDescent="0.3">
      <c r="A26" s="4" t="s">
        <v>155</v>
      </c>
      <c r="B26" s="6">
        <v>888756891871</v>
      </c>
      <c r="C26" s="4">
        <v>38</v>
      </c>
      <c r="D26">
        <f>VLOOKUP(Table3[[#This Row],[size]],sizes[],2,0)</f>
        <v>14</v>
      </c>
      <c r="F26">
        <v>0</v>
      </c>
    </row>
    <row r="27" spans="1:6" x14ac:dyDescent="0.3">
      <c r="A27" s="4" t="s">
        <v>155</v>
      </c>
      <c r="B27" s="6">
        <v>888756891888</v>
      </c>
      <c r="C27" s="4">
        <v>39</v>
      </c>
      <c r="D27">
        <f>VLOOKUP(Table3[[#This Row],[size]],sizes[],2,0)</f>
        <v>38</v>
      </c>
      <c r="F27">
        <v>0</v>
      </c>
    </row>
    <row r="28" spans="1:6" x14ac:dyDescent="0.3">
      <c r="A28" s="4" t="s">
        <v>105</v>
      </c>
      <c r="B28" s="6">
        <v>888756447887</v>
      </c>
      <c r="C28" s="4">
        <v>41</v>
      </c>
      <c r="D28">
        <f>VLOOKUP(Table3[[#This Row],[size]],sizes[],2,0)</f>
        <v>43</v>
      </c>
      <c r="F28">
        <v>0</v>
      </c>
    </row>
    <row r="29" spans="1:6" x14ac:dyDescent="0.3">
      <c r="A29" s="4" t="s">
        <v>105</v>
      </c>
      <c r="B29" s="6">
        <v>888756447870</v>
      </c>
      <c r="C29" s="4">
        <v>40</v>
      </c>
      <c r="D29">
        <f>VLOOKUP(Table3[[#This Row],[size]],sizes[],2,0)</f>
        <v>17</v>
      </c>
      <c r="F29">
        <v>0</v>
      </c>
    </row>
    <row r="30" spans="1:6" x14ac:dyDescent="0.3">
      <c r="A30" s="4" t="s">
        <v>105</v>
      </c>
      <c r="B30" s="6">
        <v>888756447917</v>
      </c>
      <c r="C30" s="4">
        <v>42.5</v>
      </c>
      <c r="D30">
        <f>VLOOKUP(Table3[[#This Row],[size]],sizes[],2,0)</f>
        <v>46</v>
      </c>
      <c r="F30">
        <v>0</v>
      </c>
    </row>
    <row r="31" spans="1:6" x14ac:dyDescent="0.3">
      <c r="A31" s="4" t="s">
        <v>113</v>
      </c>
      <c r="B31" s="6">
        <v>888756809340</v>
      </c>
      <c r="C31" s="4">
        <v>40</v>
      </c>
      <c r="D31">
        <f>VLOOKUP(Table3[[#This Row],[size]],sizes[],2,0)</f>
        <v>17</v>
      </c>
      <c r="F31">
        <v>0</v>
      </c>
    </row>
    <row r="32" spans="1:6" x14ac:dyDescent="0.3">
      <c r="A32" s="4" t="s">
        <v>101</v>
      </c>
      <c r="B32" s="6">
        <v>888756409076</v>
      </c>
      <c r="C32" s="4">
        <v>42.5</v>
      </c>
      <c r="D32">
        <f>VLOOKUP(Table3[[#This Row],[size]],sizes[],2,0)</f>
        <v>46</v>
      </c>
      <c r="F32">
        <v>0</v>
      </c>
    </row>
    <row r="33" spans="1:6" x14ac:dyDescent="0.3">
      <c r="A33" s="4" t="s">
        <v>139</v>
      </c>
      <c r="B33" s="6">
        <v>888757574469</v>
      </c>
      <c r="C33" s="4">
        <v>42.5</v>
      </c>
      <c r="D33">
        <f>VLOOKUP(Table3[[#This Row],[size]],sizes[],2,0)</f>
        <v>46</v>
      </c>
      <c r="F33">
        <v>0</v>
      </c>
    </row>
    <row r="34" spans="1:6" x14ac:dyDescent="0.3">
      <c r="A34" s="4" t="s">
        <v>139</v>
      </c>
      <c r="B34" s="6">
        <v>888757574254</v>
      </c>
      <c r="C34" s="4">
        <v>44</v>
      </c>
      <c r="D34">
        <f>VLOOKUP(Table3[[#This Row],[size]],sizes[],2,0)</f>
        <v>50</v>
      </c>
      <c r="F34">
        <v>0</v>
      </c>
    </row>
    <row r="35" spans="1:6" x14ac:dyDescent="0.3">
      <c r="A35" s="4" t="s">
        <v>105</v>
      </c>
      <c r="B35" s="6">
        <v>888756447702</v>
      </c>
      <c r="C35" s="4">
        <v>44</v>
      </c>
      <c r="D35">
        <f>VLOOKUP(Table3[[#This Row],[size]],sizes[],2,0)</f>
        <v>50</v>
      </c>
      <c r="F35">
        <v>0</v>
      </c>
    </row>
    <row r="36" spans="1:6" x14ac:dyDescent="0.3">
      <c r="A36" s="4" t="s">
        <v>142</v>
      </c>
      <c r="B36" s="6">
        <v>888756822059</v>
      </c>
      <c r="C36" s="4">
        <v>37.5</v>
      </c>
      <c r="D36">
        <f>VLOOKUP(Table3[[#This Row],[size]],sizes[],2,0)</f>
        <v>36</v>
      </c>
      <c r="F36">
        <v>0</v>
      </c>
    </row>
    <row r="37" spans="1:6" x14ac:dyDescent="0.3">
      <c r="A37" s="4" t="s">
        <v>150</v>
      </c>
      <c r="B37" s="6">
        <v>888756864974</v>
      </c>
      <c r="C37" s="4">
        <v>40</v>
      </c>
      <c r="D37">
        <f>VLOOKUP(Table3[[#This Row],[size]],sizes[],2,0)</f>
        <v>17</v>
      </c>
      <c r="F37">
        <v>0</v>
      </c>
    </row>
    <row r="38" spans="1:6" x14ac:dyDescent="0.3">
      <c r="A38" s="4" t="s">
        <v>139</v>
      </c>
      <c r="B38" s="6">
        <v>888757574476</v>
      </c>
      <c r="C38" s="4">
        <v>43</v>
      </c>
      <c r="D38">
        <f>VLOOKUP(Table3[[#This Row],[size]],sizes[],2,0)</f>
        <v>47</v>
      </c>
      <c r="F38">
        <v>0</v>
      </c>
    </row>
    <row r="39" spans="1:6" x14ac:dyDescent="0.3">
      <c r="A39" s="4" t="s">
        <v>139</v>
      </c>
      <c r="B39" s="6">
        <v>888757574407</v>
      </c>
      <c r="C39" s="4">
        <v>39</v>
      </c>
      <c r="D39">
        <f>VLOOKUP(Table3[[#This Row],[size]],sizes[],2,0)</f>
        <v>38</v>
      </c>
      <c r="F39">
        <v>0</v>
      </c>
    </row>
    <row r="40" spans="1:6" x14ac:dyDescent="0.3">
      <c r="A40" s="4" t="s">
        <v>135</v>
      </c>
      <c r="B40" s="6">
        <v>888757557806</v>
      </c>
      <c r="C40" s="4">
        <v>41</v>
      </c>
      <c r="D40">
        <f>VLOOKUP(Table3[[#This Row],[size]],sizes[],2,0)</f>
        <v>43</v>
      </c>
      <c r="F40">
        <v>0</v>
      </c>
    </row>
    <row r="41" spans="1:6" x14ac:dyDescent="0.3">
      <c r="A41" s="4" t="s">
        <v>101</v>
      </c>
      <c r="B41" s="6">
        <v>888756409021</v>
      </c>
      <c r="C41" s="4">
        <v>39</v>
      </c>
      <c r="D41">
        <f>VLOOKUP(Table3[[#This Row],[size]],sizes[],2,0)</f>
        <v>38</v>
      </c>
      <c r="F41">
        <v>0</v>
      </c>
    </row>
    <row r="42" spans="1:6" x14ac:dyDescent="0.3">
      <c r="A42" s="4" t="s">
        <v>117</v>
      </c>
      <c r="B42" s="6">
        <v>888757095544</v>
      </c>
      <c r="C42" s="4">
        <v>36</v>
      </c>
      <c r="D42">
        <f>VLOOKUP(Table3[[#This Row],[size]],sizes[],2,0)</f>
        <v>27</v>
      </c>
      <c r="F42">
        <v>0</v>
      </c>
    </row>
    <row r="43" spans="1:6" x14ac:dyDescent="0.3">
      <c r="A43" s="4" t="s">
        <v>139</v>
      </c>
      <c r="B43" s="6">
        <v>888757574377</v>
      </c>
      <c r="C43" s="4">
        <v>37</v>
      </c>
      <c r="D43">
        <f>VLOOKUP(Table3[[#This Row],[size]],sizes[],2,0)</f>
        <v>70</v>
      </c>
      <c r="F43">
        <v>0</v>
      </c>
    </row>
    <row r="44" spans="1:6" x14ac:dyDescent="0.3">
      <c r="A44" s="4" t="s">
        <v>158</v>
      </c>
      <c r="B44" s="6">
        <v>888757138142</v>
      </c>
      <c r="C44" s="4">
        <v>38</v>
      </c>
      <c r="D44">
        <f>VLOOKUP(Table3[[#This Row],[size]],sizes[],2,0)</f>
        <v>14</v>
      </c>
      <c r="F44">
        <v>0</v>
      </c>
    </row>
    <row r="45" spans="1:6" x14ac:dyDescent="0.3">
      <c r="A45" s="4" t="s">
        <v>128</v>
      </c>
      <c r="B45" s="6">
        <v>888757098729</v>
      </c>
      <c r="C45" s="4">
        <v>36</v>
      </c>
      <c r="D45">
        <f>VLOOKUP(Table3[[#This Row],[size]],sizes[],2,0)</f>
        <v>27</v>
      </c>
      <c r="F45">
        <v>0</v>
      </c>
    </row>
    <row r="46" spans="1:6" x14ac:dyDescent="0.3">
      <c r="A46" s="4" t="s">
        <v>131</v>
      </c>
      <c r="B46" s="6">
        <v>888757115976</v>
      </c>
      <c r="C46" s="4">
        <v>44.5</v>
      </c>
      <c r="D46">
        <f>VLOOKUP(Table3[[#This Row],[size]],sizes[],2,0)</f>
        <v>51</v>
      </c>
      <c r="F46">
        <v>0</v>
      </c>
    </row>
    <row r="47" spans="1:6" x14ac:dyDescent="0.3">
      <c r="A47" s="4" t="s">
        <v>147</v>
      </c>
      <c r="B47" s="6">
        <v>888756825531</v>
      </c>
      <c r="C47" s="4">
        <v>36</v>
      </c>
      <c r="D47">
        <f>VLOOKUP(Table3[[#This Row],[size]],sizes[],2,0)</f>
        <v>27</v>
      </c>
      <c r="F47">
        <v>0</v>
      </c>
    </row>
    <row r="48" spans="1:6" x14ac:dyDescent="0.3">
      <c r="A48" s="4" t="s">
        <v>142</v>
      </c>
      <c r="B48" s="6">
        <v>888756822097</v>
      </c>
      <c r="C48" s="4">
        <v>40</v>
      </c>
      <c r="D48">
        <f>VLOOKUP(Table3[[#This Row],[size]],sizes[],2,0)</f>
        <v>17</v>
      </c>
      <c r="F48">
        <v>0</v>
      </c>
    </row>
    <row r="49" spans="1:6" x14ac:dyDescent="0.3">
      <c r="A49" s="4" t="s">
        <v>120</v>
      </c>
      <c r="B49" s="6">
        <v>888757097104</v>
      </c>
      <c r="C49" s="4">
        <v>40</v>
      </c>
      <c r="D49">
        <f>VLOOKUP(Table3[[#This Row],[size]],sizes[],2,0)</f>
        <v>17</v>
      </c>
      <c r="F49">
        <v>0</v>
      </c>
    </row>
    <row r="50" spans="1:6" x14ac:dyDescent="0.3">
      <c r="A50" s="4" t="s">
        <v>144</v>
      </c>
      <c r="B50" s="6">
        <v>888756824657</v>
      </c>
      <c r="C50" s="4">
        <v>37.5</v>
      </c>
      <c r="D50">
        <f>VLOOKUP(Table3[[#This Row],[size]],sizes[],2,0)</f>
        <v>36</v>
      </c>
      <c r="F50">
        <v>0</v>
      </c>
    </row>
    <row r="51" spans="1:6" x14ac:dyDescent="0.3">
      <c r="A51" s="4" t="s">
        <v>135</v>
      </c>
      <c r="B51" s="6">
        <v>888757557776</v>
      </c>
      <c r="C51" s="4">
        <v>39</v>
      </c>
      <c r="D51">
        <f>VLOOKUP(Table3[[#This Row],[size]],sizes[],2,0)</f>
        <v>38</v>
      </c>
      <c r="F51">
        <v>0</v>
      </c>
    </row>
    <row r="52" spans="1:6" x14ac:dyDescent="0.3">
      <c r="A52" s="4" t="s">
        <v>135</v>
      </c>
      <c r="B52" s="6">
        <v>888757557639</v>
      </c>
      <c r="C52" s="4">
        <v>44.5</v>
      </c>
      <c r="D52">
        <f>VLOOKUP(Table3[[#This Row],[size]],sizes[],2,0)</f>
        <v>51</v>
      </c>
      <c r="F52">
        <v>0</v>
      </c>
    </row>
    <row r="53" spans="1:6" x14ac:dyDescent="0.3">
      <c r="A53" s="4" t="s">
        <v>155</v>
      </c>
      <c r="B53" s="6">
        <v>888756891857</v>
      </c>
      <c r="C53" s="4">
        <v>37</v>
      </c>
      <c r="D53">
        <f>VLOOKUP(Table3[[#This Row],[size]],sizes[],2,0)</f>
        <v>70</v>
      </c>
      <c r="F53">
        <v>0</v>
      </c>
    </row>
    <row r="54" spans="1:6" x14ac:dyDescent="0.3">
      <c r="A54" s="4" t="s">
        <v>120</v>
      </c>
      <c r="B54" s="6">
        <v>888757096954</v>
      </c>
      <c r="C54" s="4">
        <v>45</v>
      </c>
      <c r="D54">
        <f>VLOOKUP(Table3[[#This Row],[size]],sizes[],2,0)</f>
        <v>52</v>
      </c>
      <c r="F54">
        <v>0</v>
      </c>
    </row>
    <row r="55" spans="1:6" x14ac:dyDescent="0.3">
      <c r="A55" s="4" t="s">
        <v>147</v>
      </c>
      <c r="B55" s="6">
        <v>888756825586</v>
      </c>
      <c r="C55" s="4">
        <v>39</v>
      </c>
      <c r="D55">
        <f>VLOOKUP(Table3[[#This Row],[size]],sizes[],2,0)</f>
        <v>38</v>
      </c>
      <c r="F55">
        <v>0</v>
      </c>
    </row>
    <row r="56" spans="1:6" x14ac:dyDescent="0.3">
      <c r="A56" s="4" t="s">
        <v>139</v>
      </c>
      <c r="B56" s="6">
        <v>888757574384</v>
      </c>
      <c r="C56" s="4">
        <v>37.5</v>
      </c>
      <c r="D56">
        <f>VLOOKUP(Table3[[#This Row],[size]],sizes[],2,0)</f>
        <v>36</v>
      </c>
      <c r="F56">
        <v>0</v>
      </c>
    </row>
    <row r="57" spans="1:6" x14ac:dyDescent="0.3">
      <c r="A57" s="4" t="s">
        <v>158</v>
      </c>
      <c r="B57" s="6">
        <v>888757138180</v>
      </c>
      <c r="C57" s="4">
        <v>40.5</v>
      </c>
      <c r="D57">
        <f>VLOOKUP(Table3[[#This Row],[size]],sizes[],2,0)</f>
        <v>41</v>
      </c>
      <c r="F57">
        <v>0</v>
      </c>
    </row>
    <row r="58" spans="1:6" x14ac:dyDescent="0.3">
      <c r="A58" s="4" t="s">
        <v>158</v>
      </c>
      <c r="B58" s="6">
        <v>888757138159</v>
      </c>
      <c r="C58" s="4">
        <v>38.5</v>
      </c>
      <c r="D58">
        <f>VLOOKUP(Table3[[#This Row],[size]],sizes[],2,0)</f>
        <v>37</v>
      </c>
      <c r="F58">
        <v>0</v>
      </c>
    </row>
    <row r="59" spans="1:6" x14ac:dyDescent="0.3">
      <c r="A59" s="4" t="s">
        <v>105</v>
      </c>
      <c r="B59" s="6">
        <v>888756447924</v>
      </c>
      <c r="C59" s="4">
        <v>43</v>
      </c>
      <c r="D59">
        <f>VLOOKUP(Table3[[#This Row],[size]],sizes[],2,0)</f>
        <v>47</v>
      </c>
      <c r="F59">
        <v>0</v>
      </c>
    </row>
    <row r="60" spans="1:6" x14ac:dyDescent="0.3">
      <c r="A60" s="4" t="s">
        <v>105</v>
      </c>
      <c r="B60" s="6">
        <v>888756447719</v>
      </c>
      <c r="C60" s="4">
        <v>44.5</v>
      </c>
      <c r="D60">
        <f>VLOOKUP(Table3[[#This Row],[size]],sizes[],2,0)</f>
        <v>51</v>
      </c>
      <c r="F60">
        <v>0</v>
      </c>
    </row>
    <row r="61" spans="1:6" x14ac:dyDescent="0.3">
      <c r="A61" s="4" t="s">
        <v>152</v>
      </c>
      <c r="B61" s="6">
        <v>888756834007</v>
      </c>
      <c r="C61" s="4">
        <v>37</v>
      </c>
      <c r="D61">
        <f>VLOOKUP(Table3[[#This Row],[size]],sizes[],2,0)</f>
        <v>70</v>
      </c>
      <c r="F61">
        <v>0</v>
      </c>
    </row>
    <row r="62" spans="1:6" x14ac:dyDescent="0.3">
      <c r="A62" s="4" t="s">
        <v>120</v>
      </c>
      <c r="B62" s="6">
        <v>888757097043</v>
      </c>
      <c r="C62" s="4">
        <v>36</v>
      </c>
      <c r="D62">
        <f>VLOOKUP(Table3[[#This Row],[size]],sizes[],2,0)</f>
        <v>27</v>
      </c>
      <c r="F62">
        <v>0</v>
      </c>
    </row>
    <row r="63" spans="1:6" x14ac:dyDescent="0.3">
      <c r="A63" s="4" t="s">
        <v>147</v>
      </c>
      <c r="B63" s="6">
        <v>888756825609</v>
      </c>
      <c r="C63" s="4">
        <v>40</v>
      </c>
      <c r="D63">
        <f>VLOOKUP(Table3[[#This Row],[size]],sizes[],2,0)</f>
        <v>17</v>
      </c>
      <c r="F63">
        <v>0</v>
      </c>
    </row>
    <row r="64" spans="1:6" x14ac:dyDescent="0.3">
      <c r="A64" s="4" t="s">
        <v>155</v>
      </c>
      <c r="B64" s="6">
        <v>888756891833</v>
      </c>
      <c r="C64" s="4">
        <v>36</v>
      </c>
      <c r="D64">
        <f>VLOOKUP(Table3[[#This Row],[size]],sizes[],2,0)</f>
        <v>27</v>
      </c>
      <c r="F64">
        <v>0</v>
      </c>
    </row>
    <row r="65" spans="1:6" x14ac:dyDescent="0.3">
      <c r="A65" s="4" t="s">
        <v>131</v>
      </c>
      <c r="B65" s="6">
        <v>888757116126</v>
      </c>
      <c r="C65" s="4">
        <v>41.5</v>
      </c>
      <c r="D65">
        <f>VLOOKUP(Table3[[#This Row],[size]],sizes[],2,0)</f>
        <v>44</v>
      </c>
      <c r="F65">
        <v>0</v>
      </c>
    </row>
    <row r="66" spans="1:6" x14ac:dyDescent="0.3">
      <c r="A66" s="4" t="s">
        <v>131</v>
      </c>
      <c r="B66" s="6">
        <v>888757116058</v>
      </c>
      <c r="C66" s="4">
        <v>37</v>
      </c>
      <c r="D66">
        <f>VLOOKUP(Table3[[#This Row],[size]],sizes[],2,0)</f>
        <v>70</v>
      </c>
      <c r="F66">
        <v>0</v>
      </c>
    </row>
    <row r="67" spans="1:6" x14ac:dyDescent="0.3">
      <c r="A67" s="4" t="s">
        <v>113</v>
      </c>
      <c r="B67" s="6">
        <v>888756809326</v>
      </c>
      <c r="C67" s="4">
        <v>39</v>
      </c>
      <c r="D67">
        <f>VLOOKUP(Table3[[#This Row],[size]],sizes[],2,0)</f>
        <v>38</v>
      </c>
      <c r="F67">
        <v>0</v>
      </c>
    </row>
    <row r="68" spans="1:6" x14ac:dyDescent="0.3">
      <c r="A68" s="4" t="s">
        <v>120</v>
      </c>
      <c r="B68" s="6">
        <v>888757097074</v>
      </c>
      <c r="C68" s="4">
        <v>38</v>
      </c>
      <c r="D68">
        <f>VLOOKUP(Table3[[#This Row],[size]],sizes[],2,0)</f>
        <v>14</v>
      </c>
      <c r="F68">
        <v>0</v>
      </c>
    </row>
    <row r="69" spans="1:6" x14ac:dyDescent="0.3">
      <c r="A69" s="4" t="s">
        <v>120</v>
      </c>
      <c r="B69" s="6">
        <v>888757097128</v>
      </c>
      <c r="C69" s="4">
        <v>41</v>
      </c>
      <c r="D69">
        <f>VLOOKUP(Table3[[#This Row],[size]],sizes[],2,0)</f>
        <v>43</v>
      </c>
      <c r="F69">
        <v>0</v>
      </c>
    </row>
    <row r="70" spans="1:6" x14ac:dyDescent="0.3">
      <c r="A70" s="4" t="s">
        <v>152</v>
      </c>
      <c r="B70" s="6">
        <v>888756834052</v>
      </c>
      <c r="C70" s="4">
        <v>40</v>
      </c>
      <c r="D70">
        <f>VLOOKUP(Table3[[#This Row],[size]],sizes[],2,0)</f>
        <v>17</v>
      </c>
      <c r="F70">
        <v>0</v>
      </c>
    </row>
    <row r="71" spans="1:6" x14ac:dyDescent="0.3">
      <c r="A71" s="4" t="s">
        <v>144</v>
      </c>
      <c r="B71" s="6">
        <v>888756824695</v>
      </c>
      <c r="C71" s="4">
        <v>40</v>
      </c>
      <c r="D71">
        <f>VLOOKUP(Table3[[#This Row],[size]],sizes[],2,0)</f>
        <v>17</v>
      </c>
      <c r="F71">
        <v>0</v>
      </c>
    </row>
    <row r="72" spans="1:6" x14ac:dyDescent="0.3">
      <c r="A72" s="4" t="s">
        <v>139</v>
      </c>
      <c r="B72" s="6">
        <v>888757574445</v>
      </c>
      <c r="C72" s="4">
        <v>41.5</v>
      </c>
      <c r="D72">
        <f>VLOOKUP(Table3[[#This Row],[size]],sizes[],2,0)</f>
        <v>44</v>
      </c>
      <c r="F72">
        <v>0</v>
      </c>
    </row>
    <row r="73" spans="1:6" x14ac:dyDescent="0.3">
      <c r="A73" s="4" t="s">
        <v>135</v>
      </c>
      <c r="B73" s="6">
        <v>888757557646</v>
      </c>
      <c r="C73" s="4">
        <v>45</v>
      </c>
      <c r="D73">
        <f>VLOOKUP(Table3[[#This Row],[size]],sizes[],2,0)</f>
        <v>52</v>
      </c>
      <c r="F73">
        <v>0</v>
      </c>
    </row>
    <row r="74" spans="1:6" x14ac:dyDescent="0.3">
      <c r="A74" s="4" t="s">
        <v>131</v>
      </c>
      <c r="B74" s="6">
        <v>888757116089</v>
      </c>
      <c r="C74" s="4">
        <v>39</v>
      </c>
      <c r="D74">
        <f>VLOOKUP(Table3[[#This Row],[size]],sizes[],2,0)</f>
        <v>38</v>
      </c>
      <c r="F74">
        <v>0</v>
      </c>
    </row>
    <row r="75" spans="1:6" x14ac:dyDescent="0.3">
      <c r="A75" s="4" t="s">
        <v>139</v>
      </c>
      <c r="B75" s="6">
        <v>888757574438</v>
      </c>
      <c r="C75" s="4">
        <v>41</v>
      </c>
      <c r="D75">
        <f>VLOOKUP(Table3[[#This Row],[size]],sizes[],2,0)</f>
        <v>43</v>
      </c>
      <c r="F75">
        <v>0</v>
      </c>
    </row>
    <row r="76" spans="1:6" x14ac:dyDescent="0.3">
      <c r="A76" s="4" t="s">
        <v>135</v>
      </c>
      <c r="B76" s="6">
        <v>888757557622</v>
      </c>
      <c r="C76" s="4">
        <v>44</v>
      </c>
      <c r="D76">
        <f>VLOOKUP(Table3[[#This Row],[size]],sizes[],2,0)</f>
        <v>50</v>
      </c>
      <c r="F76">
        <v>0</v>
      </c>
    </row>
    <row r="77" spans="1:6" x14ac:dyDescent="0.3">
      <c r="A77" s="4" t="s">
        <v>158</v>
      </c>
      <c r="B77" s="6">
        <v>888757138173</v>
      </c>
      <c r="C77" s="4">
        <v>40</v>
      </c>
      <c r="D77">
        <f>VLOOKUP(Table3[[#This Row],[size]],sizes[],2,0)</f>
        <v>17</v>
      </c>
      <c r="F77">
        <v>0</v>
      </c>
    </row>
    <row r="78" spans="1:6" x14ac:dyDescent="0.3">
      <c r="A78" s="4" t="s">
        <v>117</v>
      </c>
      <c r="B78" s="6">
        <v>888757095568</v>
      </c>
      <c r="C78" s="4">
        <v>37</v>
      </c>
      <c r="D78">
        <f>VLOOKUP(Table3[[#This Row],[size]],sizes[],2,0)</f>
        <v>70</v>
      </c>
      <c r="F78">
        <v>0</v>
      </c>
    </row>
    <row r="79" spans="1:6" x14ac:dyDescent="0.3">
      <c r="A79" s="4" t="s">
        <v>128</v>
      </c>
      <c r="B79" s="6">
        <v>888757098798</v>
      </c>
      <c r="C79" s="4">
        <v>40</v>
      </c>
      <c r="D79">
        <f>VLOOKUP(Table3[[#This Row],[size]],sizes[],2,0)</f>
        <v>17</v>
      </c>
      <c r="F79">
        <v>0</v>
      </c>
    </row>
    <row r="80" spans="1:6" x14ac:dyDescent="0.3">
      <c r="A80" s="4" t="s">
        <v>131</v>
      </c>
      <c r="B80" s="6">
        <v>888757115969</v>
      </c>
      <c r="C80" s="4">
        <v>44</v>
      </c>
      <c r="D80">
        <f>VLOOKUP(Table3[[#This Row],[size]],sizes[],2,0)</f>
        <v>50</v>
      </c>
      <c r="F80">
        <v>0</v>
      </c>
    </row>
    <row r="81" spans="1:6" x14ac:dyDescent="0.3">
      <c r="A81" s="4" t="s">
        <v>152</v>
      </c>
      <c r="B81" s="6">
        <v>888756834038</v>
      </c>
      <c r="C81" s="4">
        <v>39</v>
      </c>
      <c r="D81">
        <f>VLOOKUP(Table3[[#This Row],[size]],sizes[],2,0)</f>
        <v>38</v>
      </c>
      <c r="F81">
        <v>0</v>
      </c>
    </row>
    <row r="82" spans="1:6" x14ac:dyDescent="0.3">
      <c r="A82" s="4" t="s">
        <v>161</v>
      </c>
      <c r="B82" s="6">
        <v>888757157389</v>
      </c>
      <c r="C82" s="4">
        <v>37.5</v>
      </c>
      <c r="D82">
        <f>VLOOKUP(Table3[[#This Row],[size]],sizes[],2,0)</f>
        <v>36</v>
      </c>
      <c r="F82">
        <v>0</v>
      </c>
    </row>
    <row r="83" spans="1:6" x14ac:dyDescent="0.3">
      <c r="A83" s="4" t="s">
        <v>109</v>
      </c>
      <c r="B83" s="6">
        <v>888756800033</v>
      </c>
      <c r="C83" s="4">
        <v>36.5</v>
      </c>
      <c r="D83">
        <f>VLOOKUP(Table3[[#This Row],[size]],sizes[],2,0)</f>
        <v>35</v>
      </c>
      <c r="F83">
        <v>0</v>
      </c>
    </row>
    <row r="84" spans="1:6" x14ac:dyDescent="0.3">
      <c r="A84" s="4" t="s">
        <v>147</v>
      </c>
      <c r="B84" s="6">
        <v>888756825579</v>
      </c>
      <c r="C84" s="4">
        <v>38</v>
      </c>
      <c r="D84">
        <f>VLOOKUP(Table3[[#This Row],[size]],sizes[],2,0)</f>
        <v>14</v>
      </c>
      <c r="F84">
        <v>0</v>
      </c>
    </row>
    <row r="85" spans="1:6" x14ac:dyDescent="0.3">
      <c r="A85" s="4" t="s">
        <v>147</v>
      </c>
      <c r="B85" s="6">
        <v>888756825555</v>
      </c>
      <c r="C85" s="4">
        <v>37</v>
      </c>
      <c r="D85">
        <f>VLOOKUP(Table3[[#This Row],[size]],sizes[],2,0)</f>
        <v>70</v>
      </c>
      <c r="F85">
        <v>0</v>
      </c>
    </row>
    <row r="86" spans="1:6" x14ac:dyDescent="0.3">
      <c r="A86" s="4" t="s">
        <v>105</v>
      </c>
      <c r="B86" s="6">
        <v>888756447894</v>
      </c>
      <c r="C86" s="4">
        <v>41.5</v>
      </c>
      <c r="D86">
        <f>VLOOKUP(Table3[[#This Row],[size]],sizes[],2,0)</f>
        <v>44</v>
      </c>
      <c r="F86">
        <v>0</v>
      </c>
    </row>
    <row r="87" spans="1:6" x14ac:dyDescent="0.3">
      <c r="A87" s="4" t="s">
        <v>150</v>
      </c>
      <c r="B87" s="6">
        <v>888756864943</v>
      </c>
      <c r="C87" s="4">
        <v>38</v>
      </c>
      <c r="D87">
        <f>VLOOKUP(Table3[[#This Row],[size]],sizes[],2,0)</f>
        <v>14</v>
      </c>
      <c r="F87">
        <v>0</v>
      </c>
    </row>
    <row r="88" spans="1:6" x14ac:dyDescent="0.3">
      <c r="A88" s="4" t="s">
        <v>144</v>
      </c>
      <c r="B88" s="6">
        <v>888756824688</v>
      </c>
      <c r="C88" s="4">
        <v>39.5</v>
      </c>
      <c r="D88">
        <f>VLOOKUP(Table3[[#This Row],[size]],sizes[],2,0)</f>
        <v>39</v>
      </c>
      <c r="F88">
        <v>0</v>
      </c>
    </row>
    <row r="89" spans="1:6" x14ac:dyDescent="0.3">
      <c r="A89" s="4" t="s">
        <v>113</v>
      </c>
      <c r="B89" s="6">
        <v>888756809333</v>
      </c>
      <c r="C89" s="4">
        <v>39.5</v>
      </c>
      <c r="D89">
        <f>VLOOKUP(Table3[[#This Row],[size]],sizes[],2,0)</f>
        <v>39</v>
      </c>
      <c r="F89">
        <v>0</v>
      </c>
    </row>
    <row r="90" spans="1:6" x14ac:dyDescent="0.3">
      <c r="A90" s="4" t="s">
        <v>139</v>
      </c>
      <c r="B90" s="6">
        <v>888757574261</v>
      </c>
      <c r="C90" s="4">
        <v>44.5</v>
      </c>
      <c r="D90">
        <f>VLOOKUP(Table3[[#This Row],[size]],sizes[],2,0)</f>
        <v>51</v>
      </c>
      <c r="F90">
        <v>0</v>
      </c>
    </row>
    <row r="91" spans="1:6" x14ac:dyDescent="0.3">
      <c r="A91" s="4" t="s">
        <v>120</v>
      </c>
      <c r="B91" s="6">
        <v>888757097067</v>
      </c>
      <c r="C91" s="4">
        <v>37.5</v>
      </c>
      <c r="D91">
        <f>VLOOKUP(Table3[[#This Row],[size]],sizes[],2,0)</f>
        <v>36</v>
      </c>
      <c r="F91">
        <v>0</v>
      </c>
    </row>
    <row r="92" spans="1:6" x14ac:dyDescent="0.3">
      <c r="A92" s="4" t="s">
        <v>161</v>
      </c>
      <c r="B92" s="6">
        <v>888757157402</v>
      </c>
      <c r="C92" s="4">
        <v>39</v>
      </c>
      <c r="D92">
        <f>VLOOKUP(Table3[[#This Row],[size]],sizes[],2,0)</f>
        <v>38</v>
      </c>
      <c r="F92">
        <v>0</v>
      </c>
    </row>
    <row r="93" spans="1:6" x14ac:dyDescent="0.3">
      <c r="A93" s="4" t="s">
        <v>161</v>
      </c>
      <c r="B93" s="6">
        <v>888757157372</v>
      </c>
      <c r="C93" s="4">
        <v>37</v>
      </c>
      <c r="D93">
        <f>VLOOKUP(Table3[[#This Row],[size]],sizes[],2,0)</f>
        <v>70</v>
      </c>
      <c r="F93">
        <v>0</v>
      </c>
    </row>
    <row r="94" spans="1:6" x14ac:dyDescent="0.3">
      <c r="A94" s="4" t="s">
        <v>113</v>
      </c>
      <c r="B94" s="6">
        <v>888756809357</v>
      </c>
      <c r="C94" s="4">
        <v>41</v>
      </c>
      <c r="D94">
        <f>VLOOKUP(Table3[[#This Row],[size]],sizes[],2,0)</f>
        <v>43</v>
      </c>
      <c r="F94">
        <v>0</v>
      </c>
    </row>
    <row r="95" spans="1:6" x14ac:dyDescent="0.3">
      <c r="A95" s="4" t="s">
        <v>142</v>
      </c>
      <c r="B95" s="6">
        <v>888756822080</v>
      </c>
      <c r="C95" s="4">
        <v>39.5</v>
      </c>
      <c r="D95">
        <f>VLOOKUP(Table3[[#This Row],[size]],sizes[],2,0)</f>
        <v>39</v>
      </c>
      <c r="F95">
        <v>0</v>
      </c>
    </row>
    <row r="96" spans="1:6" x14ac:dyDescent="0.3">
      <c r="A96" s="4" t="s">
        <v>124</v>
      </c>
      <c r="B96" s="6">
        <v>888757098538</v>
      </c>
      <c r="C96" s="4">
        <v>36.5</v>
      </c>
      <c r="D96">
        <f>VLOOKUP(Table3[[#This Row],[size]],sizes[],2,0)</f>
        <v>35</v>
      </c>
      <c r="F96">
        <v>0</v>
      </c>
    </row>
    <row r="97" spans="1:6" x14ac:dyDescent="0.3">
      <c r="A97" s="4" t="s">
        <v>105</v>
      </c>
      <c r="B97" s="6">
        <v>888756447726</v>
      </c>
      <c r="C97" s="4">
        <v>45</v>
      </c>
      <c r="D97">
        <f>VLOOKUP(Table3[[#This Row],[size]],sizes[],2,0)</f>
        <v>52</v>
      </c>
      <c r="F97">
        <v>0</v>
      </c>
    </row>
    <row r="98" spans="1:6" x14ac:dyDescent="0.3">
      <c r="A98" s="4" t="s">
        <v>131</v>
      </c>
      <c r="B98" s="6">
        <v>888757116065</v>
      </c>
      <c r="C98" s="4">
        <v>37.5</v>
      </c>
      <c r="D98">
        <f>VLOOKUP(Table3[[#This Row],[size]],sizes[],2,0)</f>
        <v>36</v>
      </c>
      <c r="F98">
        <v>0</v>
      </c>
    </row>
    <row r="99" spans="1:6" x14ac:dyDescent="0.3">
      <c r="A99" s="4" t="s">
        <v>101</v>
      </c>
      <c r="B99" s="6">
        <v>888756408895</v>
      </c>
      <c r="C99" s="4">
        <v>44</v>
      </c>
      <c r="D99">
        <f>VLOOKUP(Table3[[#This Row],[size]],sizes[],2,0)</f>
        <v>50</v>
      </c>
      <c r="F99">
        <v>0</v>
      </c>
    </row>
    <row r="100" spans="1:6" x14ac:dyDescent="0.3">
      <c r="A100" s="4" t="s">
        <v>124</v>
      </c>
      <c r="B100" s="6">
        <v>888757098521</v>
      </c>
      <c r="C100" s="4">
        <v>36</v>
      </c>
      <c r="D100">
        <f>VLOOKUP(Table3[[#This Row],[size]],sizes[],2,0)</f>
        <v>27</v>
      </c>
      <c r="F100">
        <v>0</v>
      </c>
    </row>
    <row r="101" spans="1:6" x14ac:dyDescent="0.3">
      <c r="A101" s="4" t="s">
        <v>135</v>
      </c>
      <c r="B101" s="6">
        <v>888757557783</v>
      </c>
      <c r="C101" s="4">
        <v>39.5</v>
      </c>
      <c r="D101">
        <f>VLOOKUP(Table3[[#This Row],[size]],sizes[],2,0)</f>
        <v>39</v>
      </c>
      <c r="F101">
        <v>0</v>
      </c>
    </row>
    <row r="102" spans="1:6" x14ac:dyDescent="0.3">
      <c r="A102" s="4" t="s">
        <v>131</v>
      </c>
      <c r="B102" s="6">
        <v>888757116072</v>
      </c>
      <c r="C102" s="4">
        <v>38</v>
      </c>
      <c r="D102">
        <f>VLOOKUP(Table3[[#This Row],[size]],sizes[],2,0)</f>
        <v>14</v>
      </c>
      <c r="F102">
        <v>0</v>
      </c>
    </row>
    <row r="103" spans="1:6" x14ac:dyDescent="0.3">
      <c r="A103" s="4" t="s">
        <v>113</v>
      </c>
      <c r="B103" s="6">
        <v>888756809180</v>
      </c>
      <c r="C103" s="4">
        <v>44.5</v>
      </c>
      <c r="D103">
        <f>VLOOKUP(Table3[[#This Row],[size]],sizes[],2,0)</f>
        <v>51</v>
      </c>
      <c r="F103">
        <v>0</v>
      </c>
    </row>
    <row r="104" spans="1:6" x14ac:dyDescent="0.3">
      <c r="A104" s="4" t="s">
        <v>120</v>
      </c>
      <c r="B104" s="6">
        <v>888757096947</v>
      </c>
      <c r="C104" s="4">
        <v>44.5</v>
      </c>
      <c r="D104">
        <f>VLOOKUP(Table3[[#This Row],[size]],sizes[],2,0)</f>
        <v>51</v>
      </c>
      <c r="F104">
        <v>0</v>
      </c>
    </row>
    <row r="105" spans="1:6" x14ac:dyDescent="0.3">
      <c r="A105" s="4" t="s">
        <v>131</v>
      </c>
      <c r="B105" s="6">
        <v>888757116140</v>
      </c>
      <c r="C105" s="4">
        <v>42.5</v>
      </c>
      <c r="D105">
        <f>VLOOKUP(Table3[[#This Row],[size]],sizes[],2,0)</f>
        <v>46</v>
      </c>
      <c r="F105">
        <v>0</v>
      </c>
    </row>
    <row r="106" spans="1:6" x14ac:dyDescent="0.3">
      <c r="A106" s="4" t="s">
        <v>131</v>
      </c>
      <c r="B106" s="6">
        <v>888757116034</v>
      </c>
      <c r="C106" s="4">
        <v>36</v>
      </c>
      <c r="D106">
        <f>VLOOKUP(Table3[[#This Row],[size]],sizes[],2,0)</f>
        <v>27</v>
      </c>
      <c r="F106">
        <v>0</v>
      </c>
    </row>
    <row r="107" spans="1:6" x14ac:dyDescent="0.3">
      <c r="A107" s="4" t="s">
        <v>139</v>
      </c>
      <c r="B107" s="6">
        <v>888757574360</v>
      </c>
      <c r="C107" s="4">
        <v>36.5</v>
      </c>
      <c r="D107">
        <f>VLOOKUP(Table3[[#This Row],[size]],sizes[],2,0)</f>
        <v>35</v>
      </c>
      <c r="F107">
        <v>0</v>
      </c>
    </row>
    <row r="108" spans="1:6" x14ac:dyDescent="0.3">
      <c r="A108" s="4" t="s">
        <v>101</v>
      </c>
      <c r="B108" s="6">
        <v>888756408925</v>
      </c>
      <c r="C108" s="4">
        <v>46</v>
      </c>
      <c r="D108">
        <f>VLOOKUP(Table3[[#This Row],[size]],sizes[],2,0)</f>
        <v>24</v>
      </c>
      <c r="F108">
        <v>0</v>
      </c>
    </row>
    <row r="109" spans="1:6" x14ac:dyDescent="0.3">
      <c r="A109" s="4" t="s">
        <v>139</v>
      </c>
      <c r="B109" s="6">
        <v>888757574452</v>
      </c>
      <c r="C109" s="4">
        <v>42</v>
      </c>
      <c r="D109">
        <f>VLOOKUP(Table3[[#This Row],[size]],sizes[],2,0)</f>
        <v>19</v>
      </c>
      <c r="F109">
        <v>0</v>
      </c>
    </row>
    <row r="110" spans="1:6" x14ac:dyDescent="0.3">
      <c r="A110" s="4" t="s">
        <v>120</v>
      </c>
      <c r="B110" s="6">
        <v>888757097159</v>
      </c>
      <c r="C110" s="4">
        <v>43</v>
      </c>
      <c r="D110">
        <f>VLOOKUP(Table3[[#This Row],[size]],sizes[],2,0)</f>
        <v>47</v>
      </c>
      <c r="F110">
        <v>0</v>
      </c>
    </row>
    <row r="111" spans="1:6" x14ac:dyDescent="0.3">
      <c r="A111" s="4" t="s">
        <v>120</v>
      </c>
      <c r="B111" s="6">
        <v>888757097081</v>
      </c>
      <c r="C111" s="4">
        <v>38.5</v>
      </c>
      <c r="D111">
        <f>VLOOKUP(Table3[[#This Row],[size]],sizes[],2,0)</f>
        <v>37</v>
      </c>
      <c r="F111">
        <v>0</v>
      </c>
    </row>
    <row r="112" spans="1:6" x14ac:dyDescent="0.3">
      <c r="A112" s="4" t="s">
        <v>131</v>
      </c>
      <c r="B112" s="6">
        <v>888757116133</v>
      </c>
      <c r="C112" s="4">
        <v>42</v>
      </c>
      <c r="D112">
        <f>VLOOKUP(Table3[[#This Row],[size]],sizes[],2,0)</f>
        <v>19</v>
      </c>
      <c r="F112">
        <v>0</v>
      </c>
    </row>
    <row r="113" spans="1:6" x14ac:dyDescent="0.3">
      <c r="A113" s="4" t="s">
        <v>117</v>
      </c>
      <c r="B113" s="6">
        <v>888757095599</v>
      </c>
      <c r="C113" s="4">
        <v>39</v>
      </c>
      <c r="D113">
        <f>VLOOKUP(Table3[[#This Row],[size]],sizes[],2,0)</f>
        <v>38</v>
      </c>
      <c r="F113">
        <v>0</v>
      </c>
    </row>
    <row r="114" spans="1:6" x14ac:dyDescent="0.3">
      <c r="A114" s="4" t="s">
        <v>131</v>
      </c>
      <c r="B114" s="6">
        <v>888757116041</v>
      </c>
      <c r="C114" s="4">
        <v>36.5</v>
      </c>
      <c r="D114">
        <f>VLOOKUP(Table3[[#This Row],[size]],sizes[],2,0)</f>
        <v>35</v>
      </c>
      <c r="F114">
        <v>0</v>
      </c>
    </row>
    <row r="115" spans="1:6" x14ac:dyDescent="0.3">
      <c r="A115" s="4" t="s">
        <v>150</v>
      </c>
      <c r="B115" s="6">
        <v>888756864929</v>
      </c>
      <c r="C115" s="4">
        <v>37</v>
      </c>
      <c r="D115">
        <f>VLOOKUP(Table3[[#This Row],[size]],sizes[],2,0)</f>
        <v>70</v>
      </c>
      <c r="F115">
        <v>0</v>
      </c>
    </row>
    <row r="116" spans="1:6" x14ac:dyDescent="0.3">
      <c r="A116" s="4" t="s">
        <v>142</v>
      </c>
      <c r="B116" s="6">
        <v>888756822011</v>
      </c>
      <c r="C116" s="4">
        <v>35</v>
      </c>
      <c r="D116">
        <f>VLOOKUP(Table3[[#This Row],[size]],sizes[],2,0)</f>
        <v>99</v>
      </c>
      <c r="F116">
        <v>0</v>
      </c>
    </row>
    <row r="117" spans="1:6" x14ac:dyDescent="0.3">
      <c r="A117" s="4" t="s">
        <v>144</v>
      </c>
      <c r="B117" s="6">
        <v>888756824626</v>
      </c>
      <c r="C117" s="4">
        <v>36</v>
      </c>
      <c r="D117">
        <f>VLOOKUP(Table3[[#This Row],[size]],sizes[],2,0)</f>
        <v>27</v>
      </c>
      <c r="F117">
        <v>0</v>
      </c>
    </row>
    <row r="118" spans="1:6" x14ac:dyDescent="0.3">
      <c r="A118" s="4" t="s">
        <v>152</v>
      </c>
      <c r="B118" s="6">
        <v>888756834021</v>
      </c>
      <c r="C118" s="4">
        <v>38</v>
      </c>
      <c r="D118">
        <f>VLOOKUP(Table3[[#This Row],[size]],sizes[],2,0)</f>
        <v>14</v>
      </c>
      <c r="F118">
        <v>0</v>
      </c>
    </row>
    <row r="119" spans="1:6" x14ac:dyDescent="0.3">
      <c r="A119" s="4" t="s">
        <v>139</v>
      </c>
      <c r="B119" s="6">
        <v>888757574353</v>
      </c>
      <c r="C119" s="4">
        <v>36</v>
      </c>
      <c r="D119">
        <f>VLOOKUP(Table3[[#This Row],[size]],sizes[],2,0)</f>
        <v>27</v>
      </c>
      <c r="F119">
        <v>0</v>
      </c>
    </row>
    <row r="120" spans="1:6" x14ac:dyDescent="0.3">
      <c r="A120" s="4" t="s">
        <v>139</v>
      </c>
      <c r="B120" s="6">
        <v>888757574391</v>
      </c>
      <c r="C120" s="4">
        <v>38</v>
      </c>
      <c r="D120">
        <f>VLOOKUP(Table3[[#This Row],[size]],sizes[],2,0)</f>
        <v>14</v>
      </c>
      <c r="F120">
        <v>0</v>
      </c>
    </row>
    <row r="121" spans="1:6" x14ac:dyDescent="0.3">
      <c r="A121" s="4" t="s">
        <v>109</v>
      </c>
      <c r="B121" s="6">
        <v>888756800057</v>
      </c>
      <c r="C121" s="4">
        <v>37.5</v>
      </c>
      <c r="D121">
        <f>VLOOKUP(Table3[[#This Row],[size]],sizes[],2,0)</f>
        <v>36</v>
      </c>
      <c r="F121">
        <v>0</v>
      </c>
    </row>
    <row r="122" spans="1:6" x14ac:dyDescent="0.3">
      <c r="A122" s="4" t="s">
        <v>142</v>
      </c>
      <c r="B122" s="6">
        <v>888756822028</v>
      </c>
      <c r="C122" s="4">
        <v>36</v>
      </c>
      <c r="D122">
        <f>VLOOKUP(Table3[[#This Row],[size]],sizes[],2,0)</f>
        <v>27</v>
      </c>
      <c r="F122">
        <v>0</v>
      </c>
    </row>
    <row r="123" spans="1:6" x14ac:dyDescent="0.3">
      <c r="A123" s="4" t="s">
        <v>117</v>
      </c>
      <c r="B123" s="6">
        <v>888757095575</v>
      </c>
      <c r="C123" s="4">
        <v>37.5</v>
      </c>
      <c r="D123">
        <f>VLOOKUP(Table3[[#This Row],[size]],sizes[],2,0)</f>
        <v>36</v>
      </c>
      <c r="F123">
        <v>0</v>
      </c>
    </row>
    <row r="124" spans="1:6" x14ac:dyDescent="0.3">
      <c r="A124" s="4" t="s">
        <v>109</v>
      </c>
      <c r="B124" s="6">
        <v>888756800040</v>
      </c>
      <c r="C124" s="4">
        <v>37</v>
      </c>
      <c r="D124">
        <f>VLOOKUP(Table3[[#This Row],[size]],sizes[],2,0)</f>
        <v>70</v>
      </c>
      <c r="F124">
        <v>0</v>
      </c>
    </row>
    <row r="125" spans="1:6" x14ac:dyDescent="0.3">
      <c r="A125" s="4" t="s">
        <v>142</v>
      </c>
      <c r="B125" s="6">
        <v>888756822035</v>
      </c>
      <c r="C125" s="4">
        <v>36.5</v>
      </c>
      <c r="D125">
        <f>VLOOKUP(Table3[[#This Row],[size]],sizes[],2,0)</f>
        <v>35</v>
      </c>
      <c r="F125">
        <v>0</v>
      </c>
    </row>
    <row r="126" spans="1:6" x14ac:dyDescent="0.3">
      <c r="A126" s="4" t="s">
        <v>142</v>
      </c>
      <c r="B126" s="6">
        <v>888756822073</v>
      </c>
      <c r="C126" s="4">
        <v>39</v>
      </c>
      <c r="D126">
        <f>VLOOKUP(Table3[[#This Row],[size]],sizes[],2,0)</f>
        <v>38</v>
      </c>
      <c r="F126">
        <v>0</v>
      </c>
    </row>
    <row r="127" spans="1:6" x14ac:dyDescent="0.3">
      <c r="A127" s="4" t="s">
        <v>142</v>
      </c>
      <c r="B127" s="6">
        <v>888756822042</v>
      </c>
      <c r="C127" s="4">
        <v>37</v>
      </c>
      <c r="D127">
        <f>VLOOKUP(Table3[[#This Row],[size]],sizes[],2,0)</f>
        <v>70</v>
      </c>
      <c r="F127">
        <v>0</v>
      </c>
    </row>
    <row r="128" spans="1:6" x14ac:dyDescent="0.3">
      <c r="A128" s="4" t="s">
        <v>142</v>
      </c>
      <c r="B128" s="6">
        <v>888756822066</v>
      </c>
      <c r="C128" s="4">
        <v>38</v>
      </c>
      <c r="D128">
        <f>VLOOKUP(Table3[[#This Row],[size]],sizes[],2,0)</f>
        <v>14</v>
      </c>
      <c r="F128">
        <v>0</v>
      </c>
    </row>
    <row r="129" spans="1:6" x14ac:dyDescent="0.3">
      <c r="A129" s="4" t="s">
        <v>152</v>
      </c>
      <c r="B129" s="6">
        <v>888756833987</v>
      </c>
      <c r="C129" s="4">
        <v>36</v>
      </c>
      <c r="D129">
        <f>VLOOKUP(Table3[[#This Row],[size]],sizes[],2,0)</f>
        <v>27</v>
      </c>
      <c r="F129">
        <v>0</v>
      </c>
    </row>
    <row r="130" spans="1:6" x14ac:dyDescent="0.3">
      <c r="A130" s="4" t="s">
        <v>144</v>
      </c>
      <c r="B130" s="6">
        <v>888756824619</v>
      </c>
      <c r="C130" s="4">
        <v>35</v>
      </c>
      <c r="D130">
        <f>VLOOKUP(Table3[[#This Row],[size]],sizes[],2,0)</f>
        <v>99</v>
      </c>
      <c r="F130">
        <v>0</v>
      </c>
    </row>
    <row r="131" spans="1:6" x14ac:dyDescent="0.3">
      <c r="A131" s="4" t="s">
        <v>124</v>
      </c>
      <c r="B131" s="6">
        <v>888757098552</v>
      </c>
      <c r="C131" s="4">
        <v>37.5</v>
      </c>
      <c r="D131">
        <f>VLOOKUP(Table3[[#This Row],[size]],sizes[],2,0)</f>
        <v>36</v>
      </c>
      <c r="F131">
        <v>0</v>
      </c>
    </row>
    <row r="132" spans="1:6" x14ac:dyDescent="0.3">
      <c r="A132" s="4" t="s">
        <v>150</v>
      </c>
      <c r="B132" s="6">
        <v>888756864905</v>
      </c>
      <c r="C132" s="4">
        <v>36</v>
      </c>
      <c r="D132">
        <f>VLOOKUP(Table3[[#This Row],[size]],sizes[],2,0)</f>
        <v>27</v>
      </c>
      <c r="F132">
        <v>0</v>
      </c>
    </row>
    <row r="133" spans="1:6" x14ac:dyDescent="0.3">
      <c r="A133" s="4" t="s">
        <v>155</v>
      </c>
      <c r="B133" s="6">
        <v>888756891901</v>
      </c>
      <c r="C133" s="4">
        <v>40</v>
      </c>
      <c r="D133">
        <f>VLOOKUP(Table3[[#This Row],[size]],sizes[],2,0)</f>
        <v>17</v>
      </c>
      <c r="F133">
        <v>0</v>
      </c>
    </row>
    <row r="134" spans="1:6" x14ac:dyDescent="0.3">
      <c r="A134" s="4" t="s">
        <v>147</v>
      </c>
      <c r="B134" s="6">
        <v>888756825562</v>
      </c>
      <c r="C134" s="4">
        <v>37.5</v>
      </c>
      <c r="D134">
        <f>VLOOKUP(Table3[[#This Row],[size]],sizes[],2,0)</f>
        <v>36</v>
      </c>
      <c r="F134">
        <v>0</v>
      </c>
    </row>
  </sheetData>
  <phoneticPr fontId="2" type="noConversion"/>
  <dataValidations count="1">
    <dataValidation type="list" allowBlank="1" showInputMessage="1" showErrorMessage="1" sqref="C2:C134" xr:uid="{0F4C15AF-B515-481E-917D-90A2880B5A0C}">
      <formula1>INDIRECT("Sizes[Size Label]")</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0F821-6418-47A0-BEFB-9B1AD581FCAD}">
  <sheetPr codeName="Sheet3"/>
  <dimension ref="A1:N48"/>
  <sheetViews>
    <sheetView topLeftCell="A25" zoomScale="85" zoomScaleNormal="85" workbookViewId="0">
      <selection activeCell="D46" sqref="D46:D48"/>
    </sheetView>
  </sheetViews>
  <sheetFormatPr defaultRowHeight="14.4" x14ac:dyDescent="0.3"/>
  <cols>
    <col min="1" max="1" width="11.88671875" customWidth="1"/>
    <col min="4" max="4" width="21.44140625" customWidth="1"/>
    <col min="5" max="5" width="10.5546875" customWidth="1"/>
    <col min="7" max="7" width="18.88671875" customWidth="1"/>
    <col min="8" max="8" width="9.6640625" customWidth="1"/>
    <col min="9" max="9" width="7.33203125" customWidth="1"/>
    <col min="10" max="10" width="15" customWidth="1"/>
    <col min="11" max="11" width="12.109375" customWidth="1"/>
    <col min="13" max="13" width="27.88671875" customWidth="1"/>
    <col min="14" max="14" width="13.33203125" customWidth="1"/>
  </cols>
  <sheetData>
    <row r="1" spans="1:14" x14ac:dyDescent="0.3">
      <c r="A1" t="s">
        <v>42</v>
      </c>
      <c r="B1" t="s">
        <v>43</v>
      </c>
      <c r="D1" t="s">
        <v>44</v>
      </c>
      <c r="E1" t="s">
        <v>45</v>
      </c>
      <c r="G1" t="s">
        <v>46</v>
      </c>
      <c r="H1" t="s">
        <v>47</v>
      </c>
      <c r="J1" t="s">
        <v>48</v>
      </c>
      <c r="K1" t="s">
        <v>49</v>
      </c>
      <c r="M1" t="s">
        <v>50</v>
      </c>
      <c r="N1" t="s">
        <v>51</v>
      </c>
    </row>
    <row r="2" spans="1:14" x14ac:dyDescent="0.3">
      <c r="A2" s="2">
        <v>49</v>
      </c>
      <c r="B2" s="2">
        <v>156</v>
      </c>
      <c r="D2" s="2" t="s">
        <v>12</v>
      </c>
      <c r="E2" s="2">
        <v>4</v>
      </c>
      <c r="G2" s="2" t="s">
        <v>30</v>
      </c>
      <c r="H2" s="2">
        <v>132</v>
      </c>
      <c r="I2" s="2"/>
      <c r="J2" s="2" t="s">
        <v>34</v>
      </c>
      <c r="K2" s="2">
        <v>136</v>
      </c>
      <c r="M2" s="2" t="s">
        <v>37</v>
      </c>
      <c r="N2" s="2">
        <v>57</v>
      </c>
    </row>
    <row r="3" spans="1:14" x14ac:dyDescent="0.3">
      <c r="A3" s="2">
        <v>48.7</v>
      </c>
      <c r="B3" s="2">
        <v>60</v>
      </c>
      <c r="D3" s="2" t="s">
        <v>13</v>
      </c>
      <c r="E3" s="2">
        <v>5</v>
      </c>
      <c r="G3" s="2" t="s">
        <v>31</v>
      </c>
      <c r="H3" s="2">
        <v>133</v>
      </c>
      <c r="I3" s="2"/>
      <c r="J3" s="2" t="s">
        <v>35</v>
      </c>
      <c r="K3" s="2">
        <v>137</v>
      </c>
      <c r="M3" s="2" t="s">
        <v>38</v>
      </c>
      <c r="N3" s="2">
        <v>58</v>
      </c>
    </row>
    <row r="4" spans="1:14" x14ac:dyDescent="0.3">
      <c r="A4" s="2">
        <v>48.5</v>
      </c>
      <c r="B4" s="2">
        <v>59</v>
      </c>
      <c r="D4" s="2" t="s">
        <v>14</v>
      </c>
      <c r="E4" s="2">
        <v>6</v>
      </c>
      <c r="G4" s="2" t="s">
        <v>32</v>
      </c>
      <c r="H4" s="2">
        <v>134</v>
      </c>
      <c r="I4" s="2"/>
      <c r="J4" s="2" t="s">
        <v>36</v>
      </c>
      <c r="K4" s="2">
        <v>138</v>
      </c>
      <c r="M4" s="2" t="s">
        <v>56</v>
      </c>
      <c r="N4" s="2" t="s">
        <v>57</v>
      </c>
    </row>
    <row r="5" spans="1:14" x14ac:dyDescent="0.3">
      <c r="A5" s="2">
        <v>48</v>
      </c>
      <c r="B5" s="2">
        <v>58</v>
      </c>
      <c r="D5" s="2" t="s">
        <v>15</v>
      </c>
      <c r="E5" s="2">
        <v>7</v>
      </c>
      <c r="G5" s="2" t="s">
        <v>33</v>
      </c>
      <c r="H5" s="2">
        <v>135</v>
      </c>
      <c r="I5" s="2"/>
      <c r="M5" s="2" t="s">
        <v>58</v>
      </c>
      <c r="N5" s="2" t="s">
        <v>59</v>
      </c>
    </row>
    <row r="6" spans="1:14" x14ac:dyDescent="0.3">
      <c r="A6" s="2">
        <v>47.7</v>
      </c>
      <c r="B6" s="2">
        <v>57</v>
      </c>
      <c r="D6" s="2" t="s">
        <v>16</v>
      </c>
      <c r="E6" s="2">
        <v>8</v>
      </c>
      <c r="G6" s="2" t="s">
        <v>70</v>
      </c>
      <c r="H6" s="2">
        <v>182</v>
      </c>
      <c r="M6" s="2" t="s">
        <v>60</v>
      </c>
      <c r="N6" s="2" t="s">
        <v>61</v>
      </c>
    </row>
    <row r="7" spans="1:14" ht="28.8" x14ac:dyDescent="0.3">
      <c r="A7" s="2">
        <v>47.5</v>
      </c>
      <c r="B7" s="2">
        <v>56</v>
      </c>
      <c r="D7" s="2" t="s">
        <v>17</v>
      </c>
      <c r="E7" s="2">
        <v>9</v>
      </c>
      <c r="G7" s="2" t="s">
        <v>71</v>
      </c>
      <c r="H7" s="2">
        <v>183</v>
      </c>
      <c r="M7" s="2" t="s">
        <v>62</v>
      </c>
      <c r="N7" s="2" t="s">
        <v>63</v>
      </c>
    </row>
    <row r="8" spans="1:14" x14ac:dyDescent="0.3">
      <c r="A8" s="2">
        <v>47.3</v>
      </c>
      <c r="B8" s="2">
        <v>55</v>
      </c>
      <c r="D8" s="2" t="s">
        <v>18</v>
      </c>
      <c r="E8" s="2">
        <v>71</v>
      </c>
      <c r="M8" s="2" t="s">
        <v>39</v>
      </c>
      <c r="N8" s="2">
        <v>61</v>
      </c>
    </row>
    <row r="9" spans="1:14" x14ac:dyDescent="0.3">
      <c r="A9" s="2">
        <v>47</v>
      </c>
      <c r="B9" s="2">
        <v>26</v>
      </c>
      <c r="D9" s="2" t="s">
        <v>19</v>
      </c>
      <c r="E9" s="2">
        <v>90</v>
      </c>
      <c r="M9" s="2" t="s">
        <v>40</v>
      </c>
      <c r="N9" s="2">
        <v>69</v>
      </c>
    </row>
    <row r="10" spans="1:14" x14ac:dyDescent="0.3">
      <c r="A10" s="2">
        <v>46.7</v>
      </c>
      <c r="B10" s="2">
        <v>25</v>
      </c>
      <c r="D10" s="2" t="s">
        <v>20</v>
      </c>
      <c r="E10" s="2">
        <v>103</v>
      </c>
      <c r="M10" s="2" t="s">
        <v>64</v>
      </c>
      <c r="N10" s="2" t="s">
        <v>65</v>
      </c>
    </row>
    <row r="11" spans="1:14" x14ac:dyDescent="0.3">
      <c r="A11" s="2">
        <v>46.5</v>
      </c>
      <c r="B11" s="2">
        <v>54</v>
      </c>
      <c r="D11" s="2" t="s">
        <v>21</v>
      </c>
      <c r="E11" s="2">
        <v>147</v>
      </c>
      <c r="M11" s="2" t="s">
        <v>41</v>
      </c>
      <c r="N11" s="2">
        <v>73</v>
      </c>
    </row>
    <row r="12" spans="1:14" x14ac:dyDescent="0.3">
      <c r="A12" s="2">
        <v>46</v>
      </c>
      <c r="B12" s="2">
        <v>24</v>
      </c>
      <c r="D12" s="2" t="s">
        <v>22</v>
      </c>
      <c r="E12" s="2">
        <v>148</v>
      </c>
      <c r="M12" s="2" t="s">
        <v>69</v>
      </c>
      <c r="N12" s="2">
        <v>87</v>
      </c>
    </row>
    <row r="13" spans="1:14" x14ac:dyDescent="0.3">
      <c r="A13" s="2">
        <v>45.5</v>
      </c>
      <c r="B13" s="2">
        <v>53</v>
      </c>
      <c r="D13" s="2" t="s">
        <v>23</v>
      </c>
      <c r="E13" s="2">
        <v>149</v>
      </c>
      <c r="M13" s="2" t="s">
        <v>72</v>
      </c>
      <c r="N13" s="2">
        <v>92</v>
      </c>
    </row>
    <row r="14" spans="1:14" x14ac:dyDescent="0.3">
      <c r="A14" s="2">
        <v>45.3</v>
      </c>
      <c r="B14" s="2">
        <v>23</v>
      </c>
      <c r="D14" s="2" t="s">
        <v>24</v>
      </c>
      <c r="E14" s="2">
        <v>150</v>
      </c>
    </row>
    <row r="15" spans="1:14" x14ac:dyDescent="0.3">
      <c r="A15" s="2">
        <v>45</v>
      </c>
      <c r="B15" s="2">
        <v>52</v>
      </c>
      <c r="D15" s="2" t="s">
        <v>25</v>
      </c>
      <c r="E15" s="2">
        <v>151</v>
      </c>
    </row>
    <row r="16" spans="1:14" x14ac:dyDescent="0.3">
      <c r="A16" s="2">
        <v>44.7</v>
      </c>
      <c r="B16" s="2">
        <v>22</v>
      </c>
      <c r="D16" s="2" t="s">
        <v>26</v>
      </c>
      <c r="E16" s="2">
        <v>152</v>
      </c>
    </row>
    <row r="17" spans="1:5" x14ac:dyDescent="0.3">
      <c r="A17" s="2">
        <v>44.5</v>
      </c>
      <c r="B17" s="2">
        <v>51</v>
      </c>
      <c r="D17" s="2" t="s">
        <v>27</v>
      </c>
      <c r="E17" s="2">
        <v>153</v>
      </c>
    </row>
    <row r="18" spans="1:5" x14ac:dyDescent="0.3">
      <c r="A18" s="2">
        <v>44</v>
      </c>
      <c r="B18" s="2">
        <v>50</v>
      </c>
      <c r="D18" s="2" t="s">
        <v>28</v>
      </c>
      <c r="E18" s="2">
        <v>154</v>
      </c>
    </row>
    <row r="19" spans="1:5" x14ac:dyDescent="0.3">
      <c r="A19" s="2">
        <v>43.5</v>
      </c>
      <c r="B19" s="2">
        <v>48</v>
      </c>
      <c r="D19" s="2" t="s">
        <v>29</v>
      </c>
      <c r="E19" s="2">
        <v>159</v>
      </c>
    </row>
    <row r="20" spans="1:5" x14ac:dyDescent="0.3">
      <c r="A20" s="2">
        <v>43.3</v>
      </c>
      <c r="B20" s="2">
        <v>21</v>
      </c>
      <c r="D20" s="2" t="s">
        <v>73</v>
      </c>
      <c r="E20" s="2">
        <v>164</v>
      </c>
    </row>
    <row r="21" spans="1:5" x14ac:dyDescent="0.3">
      <c r="A21" s="2">
        <v>43</v>
      </c>
      <c r="B21" s="2">
        <v>47</v>
      </c>
      <c r="D21" s="2" t="s">
        <v>74</v>
      </c>
      <c r="E21" s="2">
        <v>165</v>
      </c>
    </row>
    <row r="22" spans="1:5" x14ac:dyDescent="0.3">
      <c r="A22" s="2">
        <v>42.7</v>
      </c>
      <c r="B22" s="2">
        <v>20</v>
      </c>
      <c r="D22" s="2" t="s">
        <v>75</v>
      </c>
      <c r="E22" s="2">
        <v>166</v>
      </c>
    </row>
    <row r="23" spans="1:5" x14ac:dyDescent="0.3">
      <c r="A23" s="2">
        <v>42.5</v>
      </c>
      <c r="B23" s="2">
        <v>46</v>
      </c>
      <c r="D23" s="2" t="s">
        <v>76</v>
      </c>
      <c r="E23" s="2">
        <v>167</v>
      </c>
    </row>
    <row r="24" spans="1:5" x14ac:dyDescent="0.3">
      <c r="A24" s="2">
        <v>42</v>
      </c>
      <c r="B24" s="2">
        <v>19</v>
      </c>
      <c r="D24" s="2" t="s">
        <v>77</v>
      </c>
      <c r="E24" s="2">
        <v>168</v>
      </c>
    </row>
    <row r="25" spans="1:5" x14ac:dyDescent="0.3">
      <c r="A25" s="2">
        <v>41.7</v>
      </c>
      <c r="B25" s="2">
        <v>45</v>
      </c>
      <c r="D25" s="2" t="s">
        <v>78</v>
      </c>
      <c r="E25" s="2">
        <v>169</v>
      </c>
    </row>
    <row r="26" spans="1:5" x14ac:dyDescent="0.3">
      <c r="A26" s="2">
        <v>41.5</v>
      </c>
      <c r="B26" s="2">
        <v>44</v>
      </c>
      <c r="D26" s="2" t="s">
        <v>79</v>
      </c>
      <c r="E26" s="2">
        <v>170</v>
      </c>
    </row>
    <row r="27" spans="1:5" x14ac:dyDescent="0.3">
      <c r="A27" s="2">
        <v>41.3</v>
      </c>
      <c r="B27" s="2">
        <v>18</v>
      </c>
      <c r="D27" s="2" t="s">
        <v>80</v>
      </c>
      <c r="E27" s="2">
        <v>171</v>
      </c>
    </row>
    <row r="28" spans="1:5" x14ac:dyDescent="0.3">
      <c r="A28" s="2">
        <v>41</v>
      </c>
      <c r="B28" s="2">
        <v>43</v>
      </c>
      <c r="D28" s="2" t="s">
        <v>81</v>
      </c>
      <c r="E28" s="2">
        <v>172</v>
      </c>
    </row>
    <row r="29" spans="1:5" x14ac:dyDescent="0.3">
      <c r="A29" s="2">
        <v>40.700000000000003</v>
      </c>
      <c r="B29" s="2">
        <v>42</v>
      </c>
      <c r="D29" s="2" t="s">
        <v>82</v>
      </c>
      <c r="E29" s="2">
        <v>173</v>
      </c>
    </row>
    <row r="30" spans="1:5" x14ac:dyDescent="0.3">
      <c r="A30" s="2">
        <v>40.5</v>
      </c>
      <c r="B30" s="2">
        <v>41</v>
      </c>
      <c r="D30" s="2" t="s">
        <v>83</v>
      </c>
      <c r="E30" s="2">
        <v>174</v>
      </c>
    </row>
    <row r="31" spans="1:5" x14ac:dyDescent="0.3">
      <c r="A31" s="2">
        <v>40</v>
      </c>
      <c r="B31" s="2">
        <v>17</v>
      </c>
      <c r="D31" s="2" t="s">
        <v>84</v>
      </c>
      <c r="E31" s="2">
        <v>175</v>
      </c>
    </row>
    <row r="32" spans="1:5" x14ac:dyDescent="0.3">
      <c r="A32" s="2">
        <v>39.700000000000003</v>
      </c>
      <c r="B32" s="2">
        <v>40</v>
      </c>
      <c r="D32" s="2" t="s">
        <v>85</v>
      </c>
      <c r="E32" s="2">
        <v>176</v>
      </c>
    </row>
    <row r="33" spans="1:5" x14ac:dyDescent="0.3">
      <c r="A33" s="2">
        <v>39.5</v>
      </c>
      <c r="B33" s="2">
        <v>39</v>
      </c>
      <c r="D33" s="2" t="s">
        <v>86</v>
      </c>
      <c r="E33" s="2">
        <v>177</v>
      </c>
    </row>
    <row r="34" spans="1:5" x14ac:dyDescent="0.3">
      <c r="A34" s="2">
        <v>39.299999999999997</v>
      </c>
      <c r="B34" s="2">
        <v>16</v>
      </c>
      <c r="D34" s="2" t="s">
        <v>87</v>
      </c>
      <c r="E34" s="2">
        <v>178</v>
      </c>
    </row>
    <row r="35" spans="1:5" x14ac:dyDescent="0.3">
      <c r="A35" s="2">
        <v>39</v>
      </c>
      <c r="B35" s="2">
        <v>38</v>
      </c>
      <c r="D35" s="2" t="s">
        <v>88</v>
      </c>
      <c r="E35" s="2">
        <v>179</v>
      </c>
    </row>
    <row r="36" spans="1:5" x14ac:dyDescent="0.3">
      <c r="A36" s="2">
        <v>38.700000000000003</v>
      </c>
      <c r="B36" s="2">
        <v>15</v>
      </c>
      <c r="D36" s="2" t="s">
        <v>89</v>
      </c>
      <c r="E36" s="2">
        <v>180</v>
      </c>
    </row>
    <row r="37" spans="1:5" x14ac:dyDescent="0.3">
      <c r="A37" s="2">
        <v>38.5</v>
      </c>
      <c r="B37" s="2">
        <v>37</v>
      </c>
      <c r="D37" s="2" t="s">
        <v>90</v>
      </c>
      <c r="E37" s="2">
        <v>181</v>
      </c>
    </row>
    <row r="38" spans="1:5" x14ac:dyDescent="0.3">
      <c r="A38" s="2">
        <v>38</v>
      </c>
      <c r="B38" s="2">
        <v>14</v>
      </c>
      <c r="D38" s="2" t="s">
        <v>91</v>
      </c>
      <c r="E38" s="2">
        <v>184</v>
      </c>
    </row>
    <row r="39" spans="1:5" x14ac:dyDescent="0.3">
      <c r="A39" s="2">
        <v>37.5</v>
      </c>
      <c r="B39" s="2">
        <v>36</v>
      </c>
      <c r="D39" s="2" t="s">
        <v>92</v>
      </c>
      <c r="E39" s="2">
        <v>185</v>
      </c>
    </row>
    <row r="40" spans="1:5" x14ac:dyDescent="0.3">
      <c r="A40" s="2">
        <v>37.299999999999997</v>
      </c>
      <c r="B40" s="2">
        <v>13</v>
      </c>
      <c r="D40" s="2" t="s">
        <v>93</v>
      </c>
      <c r="E40" s="2">
        <v>186</v>
      </c>
    </row>
    <row r="41" spans="1:5" x14ac:dyDescent="0.3">
      <c r="A41" s="2">
        <v>37</v>
      </c>
      <c r="B41" s="2">
        <v>70</v>
      </c>
      <c r="D41" s="2" t="s">
        <v>94</v>
      </c>
      <c r="E41" s="2">
        <v>187</v>
      </c>
    </row>
    <row r="42" spans="1:5" x14ac:dyDescent="0.3">
      <c r="A42" s="2">
        <v>36.700000000000003</v>
      </c>
      <c r="B42" s="2">
        <v>12</v>
      </c>
      <c r="D42" s="2" t="s">
        <v>88</v>
      </c>
      <c r="E42" s="2">
        <v>188</v>
      </c>
    </row>
    <row r="43" spans="1:5" x14ac:dyDescent="0.3">
      <c r="A43" s="2">
        <v>36.5</v>
      </c>
      <c r="B43" s="2">
        <v>35</v>
      </c>
      <c r="D43" s="2" t="s">
        <v>95</v>
      </c>
      <c r="E43" s="2">
        <v>189</v>
      </c>
    </row>
    <row r="44" spans="1:5" x14ac:dyDescent="0.3">
      <c r="A44" s="2">
        <v>36</v>
      </c>
      <c r="B44" s="2">
        <v>27</v>
      </c>
      <c r="D44" s="2" t="s">
        <v>96</v>
      </c>
      <c r="E44" s="2">
        <v>190</v>
      </c>
    </row>
    <row r="45" spans="1:5" x14ac:dyDescent="0.3">
      <c r="A45" s="2">
        <v>35.5</v>
      </c>
      <c r="B45" s="2">
        <v>100</v>
      </c>
      <c r="D45" s="2" t="s">
        <v>97</v>
      </c>
      <c r="E45" s="2">
        <v>191</v>
      </c>
    </row>
    <row r="46" spans="1:5" x14ac:dyDescent="0.3">
      <c r="A46" s="2">
        <v>35.299999999999997</v>
      </c>
      <c r="B46" s="2">
        <v>157</v>
      </c>
      <c r="D46" s="2" t="s">
        <v>98</v>
      </c>
      <c r="E46" s="2">
        <v>192</v>
      </c>
    </row>
    <row r="47" spans="1:5" x14ac:dyDescent="0.3">
      <c r="A47" s="2">
        <v>35</v>
      </c>
      <c r="B47" s="2">
        <v>99</v>
      </c>
      <c r="D47" s="2" t="s">
        <v>99</v>
      </c>
      <c r="E47" s="2">
        <v>193</v>
      </c>
    </row>
    <row r="48" spans="1:5" x14ac:dyDescent="0.3">
      <c r="A48" s="2">
        <v>34.5</v>
      </c>
      <c r="B48" s="2">
        <v>155</v>
      </c>
      <c r="D48" s="2" t="s">
        <v>100</v>
      </c>
      <c r="E48" s="2">
        <v>194</v>
      </c>
    </row>
  </sheetData>
  <pageMargins left="0.7" right="0.7" top="0.75" bottom="0.75" header="0.3" footer="0.3"/>
  <pageSetup orientation="portrait" verticalDpi="0"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87BE0EC1D8F5A4D9B79225679173675" ma:contentTypeVersion="10" ma:contentTypeDescription="Create a new document." ma:contentTypeScope="" ma:versionID="1833383816d2bd7cfa2ccfb935572539">
  <xsd:schema xmlns:xsd="http://www.w3.org/2001/XMLSchema" xmlns:xs="http://www.w3.org/2001/XMLSchema" xmlns:p="http://schemas.microsoft.com/office/2006/metadata/properties" xmlns:ns3="8a4bfad7-f279-4024-aaaa-6947ff51fbc3" xmlns:ns4="87f8db6f-3fe7-4f0d-9971-118cbc6938da" targetNamespace="http://schemas.microsoft.com/office/2006/metadata/properties" ma:root="true" ma:fieldsID="4493c2cbf2d473549dfeed1009f17619" ns3:_="" ns4:_="">
    <xsd:import namespace="8a4bfad7-f279-4024-aaaa-6947ff51fbc3"/>
    <xsd:import namespace="87f8db6f-3fe7-4f0d-9971-118cbc6938d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4bfad7-f279-4024-aaaa-6947ff51fb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7f8db6f-3fe7-4f0d-9971-118cbc6938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914108-5794-41E4-85E4-2A5CDCD08BAE}">
  <ds:schemaRefs>
    <ds:schemaRef ds:uri="http://schemas.microsoft.com/sharepoint/v3/contenttype/forms"/>
  </ds:schemaRefs>
</ds:datastoreItem>
</file>

<file path=customXml/itemProps2.xml><?xml version="1.0" encoding="utf-8"?>
<ds:datastoreItem xmlns:ds="http://schemas.openxmlformats.org/officeDocument/2006/customXml" ds:itemID="{F7907F5F-C7E8-4AE5-B078-4D54A226C10F}">
  <ds:schemaRefs>
    <ds:schemaRef ds:uri="http://schemas.openxmlformats.org/package/2006/metadata/core-properties"/>
    <ds:schemaRef ds:uri="http://www.w3.org/XML/1998/namespace"/>
    <ds:schemaRef ds:uri="http://schemas.microsoft.com/office/2006/metadata/properties"/>
    <ds:schemaRef ds:uri="http://purl.org/dc/terms/"/>
    <ds:schemaRef ds:uri="http://schemas.microsoft.com/office/2006/documentManagement/types"/>
    <ds:schemaRef ds:uri="http://purl.org/dc/dcmitype/"/>
    <ds:schemaRef ds:uri="8a4bfad7-f279-4024-aaaa-6947ff51fbc3"/>
    <ds:schemaRef ds:uri="http://schemas.microsoft.com/office/infopath/2007/PartnerControls"/>
    <ds:schemaRef ds:uri="87f8db6f-3fe7-4f0d-9971-118cbc6938da"/>
    <ds:schemaRef ds:uri="http://purl.org/dc/elements/1.1/"/>
  </ds:schemaRefs>
</ds:datastoreItem>
</file>

<file path=customXml/itemProps3.xml><?xml version="1.0" encoding="utf-8"?>
<ds:datastoreItem xmlns:ds="http://schemas.openxmlformats.org/officeDocument/2006/customXml" ds:itemID="{041263D0-26F9-42CF-8BBC-F66AEBFCB1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4bfad7-f279-4024-aaaa-6947ff51fbc3"/>
    <ds:schemaRef ds:uri="87f8db6f-3fe7-4f0d-9971-118cbc6938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articles</vt:lpstr>
      <vt:lpstr>skus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Hussain Hajjar</dc:creator>
  <cp:lastModifiedBy>Adnan</cp:lastModifiedBy>
  <dcterms:created xsi:type="dcterms:W3CDTF">2019-10-14T12:17:41Z</dcterms:created>
  <dcterms:modified xsi:type="dcterms:W3CDTF">2019-12-15T14:26:05Z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0x010100387BE0EC1D8F5A4D9B79225679173675</vt:lpwstr>
  </property>
</Properties>
</file>